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utkarsh/Desktop/developer/mis/docs/"/>
    </mc:Choice>
  </mc:AlternateContent>
  <xr:revisionPtr revIDLastSave="0" documentId="13_ncr:20001_{ED145AFE-09CE-4241-B73A-50E8681123F7}" xr6:coauthVersionLast="47" xr6:coauthVersionMax="47" xr10:uidLastSave="{00000000-0000-0000-0000-000000000000}"/>
  <bookViews>
    <workbookView xWindow="0" yWindow="740" windowWidth="29400" windowHeight="18380" activeTab="3" xr2:uid="{00000000-000D-0000-FFFF-FFFF00000000}"/>
  </bookViews>
  <sheets>
    <sheet name="Export Summary" sheetId="1" r:id="rId1"/>
    <sheet name="Project Detail" sheetId="2" r:id="rId2"/>
    <sheet name="Profile" sheetId="3" r:id="rId3"/>
    <sheet name="MIS" sheetId="4" r:id="rId4"/>
    <sheet name="Networth" sheetId="5" r:id="rId5"/>
    <sheet name="Completed" sheetId="6" r:id="rId6"/>
    <sheet name="Promoter Land bank" sheetId="7" r:id="rId7"/>
    <sheet name="Ongoing" sheetId="8" r:id="rId8"/>
    <sheet name="Debt" sheetId="9" r:id="rId9"/>
    <sheet name="COP-MOF" sheetId="10" r:id="rId10"/>
    <sheet name="Sheet1 - PivotTable1" sheetId="11" r:id="rId11"/>
    <sheet name="Sheet3 - PivotTable1" sheetId="12" r:id="rId12"/>
    <sheet name="Sheet3 - Table 1" sheetId="13" r:id="rId13"/>
    <sheet name="Sheet7 - PivotTable1" sheetId="14" r:id="rId14"/>
    <sheet name="Sheet8 - PivotTable2" sheetId="15" r:id="rId15"/>
    <sheet name="Sheet8 - Table 1" sheetId="16" r:id="rId16"/>
    <sheet name="Sheet9 - PivotTable2" sheetId="17" r:id="rId17"/>
    <sheet name="Sheet10 - PivotTable1 - PivotTa" sheetId="18" r:id="rId18"/>
    <sheet name="Sheet10 - PivotTable1 - Table 1" sheetId="19" r:id="rId19"/>
    <sheet name="Sheet10 - Table 1" sheetId="20" r:id="rId20"/>
    <sheet name="Sheet12 - PivotTable2 - PivotTa" sheetId="21" r:id="rId21"/>
    <sheet name="Sheet12 - PivotTable2 - Table 1" sheetId="22" r:id="rId22"/>
    <sheet name="Sheet13 - PivotTable3 - PivotTa" sheetId="23" r:id="rId23"/>
    <sheet name="Sheet13 - PivotTable3 - Table 1" sheetId="24" r:id="rId24"/>
    <sheet name="Velocity" sheetId="25" r:id="rId25"/>
    <sheet name="Sheet16" sheetId="26" r:id="rId26"/>
    <sheet name="Sheet11 - PivotTable1 - PivotTa" sheetId="27" r:id="rId27"/>
    <sheet name="Sheet11 - PivotTable1 - Table 1" sheetId="28" r:id="rId28"/>
    <sheet name="Sold- Prime" sheetId="29" r:id="rId29"/>
    <sheet name="Unsold-Prime" sheetId="30" r:id="rId30"/>
    <sheet name="Sheet14 - PivotTable1" sheetId="31" r:id="rId31"/>
    <sheet name="Sheet15 - PivotTable2" sheetId="32" r:id="rId32"/>
    <sheet name="Sheet15 - Table 1" sheetId="33" r:id="rId33"/>
    <sheet name="Unsold " sheetId="34" r:id="rId34"/>
    <sheet name="Collection Velocity" sheetId="35" r:id="rId35"/>
    <sheet name="Sheet5" sheetId="36" r:id="rId36"/>
    <sheet name="Sheet4" sheetId="37" r:id="rId37"/>
    <sheet name="Sheet6" sheetId="38" r:id="rId38"/>
    <sheet name="COP &amp; MOF" sheetId="39" r:id="rId39"/>
    <sheet name="GST" sheetId="40" r:id="rId40"/>
  </sheets>
  <calcPr calcId="191029"/>
  <pivotCaches>
    <pivotCache cacheId="8" r:id="rId41"/>
    <pivotCache cacheId="9" r:id="rId42"/>
    <pivotCache cacheId="10" r:id="rId43"/>
    <pivotCache cacheId="11" r:id="rId44"/>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0" l="1"/>
  <c r="D15" i="10"/>
  <c r="K27" i="4"/>
  <c r="L4" i="4"/>
  <c r="C21" i="39"/>
  <c r="D18" i="39"/>
  <c r="D15" i="39"/>
  <c r="D14" i="39"/>
  <c r="E12" i="39"/>
  <c r="E20" i="39" s="1"/>
  <c r="E21" i="39" s="1"/>
  <c r="E22" i="39" s="1"/>
  <c r="E11" i="39"/>
  <c r="D11" i="39"/>
  <c r="C10" i="39"/>
  <c r="C12" i="39" s="1"/>
  <c r="E9" i="39"/>
  <c r="D9" i="39"/>
  <c r="D8" i="39"/>
  <c r="D7" i="39"/>
  <c r="D6" i="39"/>
  <c r="D5" i="39"/>
  <c r="D4" i="39"/>
  <c r="E13" i="37"/>
  <c r="E15" i="37" s="1"/>
  <c r="E19" i="37" s="1"/>
  <c r="E11" i="37"/>
  <c r="G464" i="36"/>
  <c r="H464" i="36" s="1"/>
  <c r="F464" i="36"/>
  <c r="E464" i="36"/>
  <c r="H463" i="36"/>
  <c r="H462" i="36"/>
  <c r="C17" i="35"/>
  <c r="B17" i="35"/>
  <c r="E104" i="34"/>
  <c r="E101" i="34"/>
  <c r="B100" i="34"/>
  <c r="B43" i="34"/>
  <c r="B44" i="34" s="1"/>
  <c r="B45" i="34" s="1"/>
  <c r="B46" i="34" s="1"/>
  <c r="B47" i="34" s="1"/>
  <c r="B48" i="34" s="1"/>
  <c r="B49" i="34" s="1"/>
  <c r="B50" i="34" s="1"/>
  <c r="B51" i="34" s="1"/>
  <c r="B52" i="34" s="1"/>
  <c r="B53" i="34" s="1"/>
  <c r="B54" i="34" s="1"/>
  <c r="B55" i="34" s="1"/>
  <c r="B56" i="34" s="1"/>
  <c r="B57" i="34" s="1"/>
  <c r="B58" i="34" s="1"/>
  <c r="B59" i="34" s="1"/>
  <c r="B60" i="34" s="1"/>
  <c r="B61" i="34" s="1"/>
  <c r="B62" i="34" s="1"/>
  <c r="B63" i="34" s="1"/>
  <c r="B64" i="34" s="1"/>
  <c r="B65" i="34" s="1"/>
  <c r="B66" i="34" s="1"/>
  <c r="B67" i="34" s="1"/>
  <c r="B68" i="34" s="1"/>
  <c r="B69" i="34" s="1"/>
  <c r="B70" i="34" s="1"/>
  <c r="B71" i="34" s="1"/>
  <c r="B72" i="34" s="1"/>
  <c r="B73" i="34" s="1"/>
  <c r="B74" i="34" s="1"/>
  <c r="B75" i="34" s="1"/>
  <c r="B76" i="34" s="1"/>
  <c r="B77" i="34" s="1"/>
  <c r="B78" i="34" s="1"/>
  <c r="B79" i="34" s="1"/>
  <c r="B80" i="34" s="1"/>
  <c r="B81" i="34" s="1"/>
  <c r="B84" i="34" s="1"/>
  <c r="B85" i="34" s="1"/>
  <c r="B86" i="34" s="1"/>
  <c r="B87" i="34" s="1"/>
  <c r="B88" i="34" s="1"/>
  <c r="B89" i="34" s="1"/>
  <c r="B90" i="34" s="1"/>
  <c r="B91" i="34" s="1"/>
  <c r="B92" i="34" s="1"/>
  <c r="B93" i="34" s="1"/>
  <c r="B94" i="34" s="1"/>
  <c r="B95" i="34" s="1"/>
  <c r="B96" i="34" s="1"/>
  <c r="B97" i="34" s="1"/>
  <c r="B98" i="34" s="1"/>
  <c r="B42" i="34"/>
  <c r="B6" i="34"/>
  <c r="B7" i="34" s="1"/>
  <c r="B8" i="34" s="1"/>
  <c r="B9" i="34" s="1"/>
  <c r="B10" i="34" s="1"/>
  <c r="B11" i="34" s="1"/>
  <c r="B12" i="34" s="1"/>
  <c r="B13" i="34" s="1"/>
  <c r="B14" i="34" s="1"/>
  <c r="B15" i="34" s="1"/>
  <c r="B16" i="34" s="1"/>
  <c r="B17" i="34" s="1"/>
  <c r="B18" i="34" s="1"/>
  <c r="B19" i="34" s="1"/>
  <c r="B20" i="34" s="1"/>
  <c r="B21" i="34" s="1"/>
  <c r="B22" i="34" s="1"/>
  <c r="B23" i="34" s="1"/>
  <c r="B24" i="34" s="1"/>
  <c r="B26" i="34" s="1"/>
  <c r="B27" i="34" s="1"/>
  <c r="B28" i="34" s="1"/>
  <c r="B29" i="34" s="1"/>
  <c r="B30" i="34" s="1"/>
  <c r="B31" i="34" s="1"/>
  <c r="B32" i="34" s="1"/>
  <c r="B33" i="34" s="1"/>
  <c r="B34" i="34" s="1"/>
  <c r="B35" i="34" s="1"/>
  <c r="B36" i="34" s="1"/>
  <c r="B37" i="34" s="1"/>
  <c r="B39" i="34" s="1"/>
  <c r="B40" i="34" s="1"/>
  <c r="C66" i="30"/>
  <c r="A44" i="30"/>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43" i="30"/>
  <c r="C38" i="30"/>
  <c r="A4" i="30"/>
  <c r="A5" i="30" s="1"/>
  <c r="A6" i="30" s="1"/>
  <c r="A7" i="30" s="1"/>
  <c r="A8" i="30" s="1"/>
  <c r="A9" i="30" s="1"/>
  <c r="A10" i="30" s="1"/>
  <c r="A11" i="30" s="1"/>
  <c r="A12" i="30" s="1"/>
  <c r="A13" i="30" s="1"/>
  <c r="A14" i="30" s="1"/>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 i="30"/>
  <c r="G183" i="29"/>
  <c r="F183" i="29"/>
  <c r="E183" i="29"/>
  <c r="I182" i="29"/>
  <c r="H182" i="29"/>
  <c r="I181" i="29"/>
  <c r="H181" i="29"/>
  <c r="I180" i="29"/>
  <c r="H180" i="29"/>
  <c r="I179" i="29"/>
  <c r="H179" i="29"/>
  <c r="I178" i="29"/>
  <c r="H178" i="29"/>
  <c r="I177" i="29"/>
  <c r="H177" i="29"/>
  <c r="I176" i="29"/>
  <c r="H176" i="29"/>
  <c r="I175" i="29"/>
  <c r="H175" i="29"/>
  <c r="I174" i="29"/>
  <c r="H174" i="29"/>
  <c r="I173" i="29"/>
  <c r="H173" i="29"/>
  <c r="I172" i="29"/>
  <c r="H172" i="29"/>
  <c r="I171" i="29"/>
  <c r="H171" i="29"/>
  <c r="I170" i="29"/>
  <c r="H170" i="29"/>
  <c r="I169" i="29"/>
  <c r="H169" i="29"/>
  <c r="I168" i="29"/>
  <c r="H168" i="29"/>
  <c r="I167" i="29"/>
  <c r="H167" i="29"/>
  <c r="I166" i="29"/>
  <c r="H166" i="29"/>
  <c r="I165" i="29"/>
  <c r="H165" i="29"/>
  <c r="I164" i="29"/>
  <c r="H164" i="29"/>
  <c r="I163" i="29"/>
  <c r="H163" i="29"/>
  <c r="I162" i="29"/>
  <c r="H162" i="29"/>
  <c r="I161" i="29"/>
  <c r="H161" i="29"/>
  <c r="I160" i="29"/>
  <c r="H160" i="29"/>
  <c r="I159" i="29"/>
  <c r="H159" i="29"/>
  <c r="I158" i="29"/>
  <c r="H158" i="29"/>
  <c r="I157" i="29"/>
  <c r="H157" i="29"/>
  <c r="I156" i="29"/>
  <c r="H156" i="29"/>
  <c r="I155" i="29"/>
  <c r="H155" i="29"/>
  <c r="I154" i="29"/>
  <c r="H154" i="29"/>
  <c r="I153" i="29"/>
  <c r="H153" i="29"/>
  <c r="I152" i="29"/>
  <c r="H152" i="29"/>
  <c r="I151" i="29"/>
  <c r="H151" i="29"/>
  <c r="I150" i="29"/>
  <c r="H150" i="29"/>
  <c r="I149" i="29"/>
  <c r="H149" i="29"/>
  <c r="I148" i="29"/>
  <c r="H148" i="29"/>
  <c r="I147" i="29"/>
  <c r="H147" i="29"/>
  <c r="I146" i="29"/>
  <c r="H146" i="29"/>
  <c r="I145" i="29"/>
  <c r="H145" i="29"/>
  <c r="I144" i="29"/>
  <c r="H144" i="29"/>
  <c r="I143" i="29"/>
  <c r="H143" i="29"/>
  <c r="I142" i="29"/>
  <c r="H142" i="29"/>
  <c r="I141" i="29"/>
  <c r="H141" i="29"/>
  <c r="I140" i="29"/>
  <c r="H140" i="29"/>
  <c r="I139" i="29"/>
  <c r="H139" i="29"/>
  <c r="I138" i="29"/>
  <c r="H138" i="29"/>
  <c r="I137" i="29"/>
  <c r="H137" i="29"/>
  <c r="I136" i="29"/>
  <c r="H136" i="29"/>
  <c r="I135" i="29"/>
  <c r="H135" i="29"/>
  <c r="I134" i="29"/>
  <c r="H134" i="29"/>
  <c r="I133" i="29"/>
  <c r="H133" i="29"/>
  <c r="I132" i="29"/>
  <c r="H132" i="29"/>
  <c r="I131" i="29"/>
  <c r="H131" i="29"/>
  <c r="I130" i="29"/>
  <c r="H130" i="29"/>
  <c r="I129" i="29"/>
  <c r="H129" i="29"/>
  <c r="I128" i="29"/>
  <c r="H128" i="29"/>
  <c r="I127" i="29"/>
  <c r="H127" i="29"/>
  <c r="I126" i="29"/>
  <c r="H126" i="29"/>
  <c r="I125" i="29"/>
  <c r="H125" i="29"/>
  <c r="I124" i="29"/>
  <c r="H124" i="29"/>
  <c r="I123" i="29"/>
  <c r="H123" i="29"/>
  <c r="I122" i="29"/>
  <c r="H122" i="29"/>
  <c r="I121" i="29"/>
  <c r="H121" i="29"/>
  <c r="I120" i="29"/>
  <c r="H120" i="29"/>
  <c r="I119" i="29"/>
  <c r="H119" i="29"/>
  <c r="I118" i="29"/>
  <c r="H118" i="29"/>
  <c r="I117" i="29"/>
  <c r="H117" i="29"/>
  <c r="I116" i="29"/>
  <c r="H116" i="29"/>
  <c r="I115" i="29"/>
  <c r="H115" i="29"/>
  <c r="I114" i="29"/>
  <c r="H114" i="29"/>
  <c r="I113" i="29"/>
  <c r="H113" i="29"/>
  <c r="I112" i="29"/>
  <c r="H112" i="29"/>
  <c r="I111" i="29"/>
  <c r="H111" i="29"/>
  <c r="I110" i="29"/>
  <c r="H110" i="29"/>
  <c r="I109" i="29"/>
  <c r="H109" i="29"/>
  <c r="I108" i="29"/>
  <c r="H108" i="29"/>
  <c r="I107" i="29"/>
  <c r="H107" i="29"/>
  <c r="I106" i="29"/>
  <c r="H106" i="29"/>
  <c r="I105" i="29"/>
  <c r="H105" i="29"/>
  <c r="I104" i="29"/>
  <c r="H104" i="29"/>
  <c r="I103" i="29"/>
  <c r="H103" i="29"/>
  <c r="I102" i="29"/>
  <c r="H102" i="29"/>
  <c r="I101" i="29"/>
  <c r="H101" i="29"/>
  <c r="I100" i="29"/>
  <c r="H100" i="29"/>
  <c r="I99" i="29"/>
  <c r="H99" i="29"/>
  <c r="I98" i="29"/>
  <c r="H98" i="29"/>
  <c r="I97" i="29"/>
  <c r="H97" i="29"/>
  <c r="I96" i="29"/>
  <c r="H96" i="29"/>
  <c r="I95" i="29"/>
  <c r="H95" i="29"/>
  <c r="I94" i="29"/>
  <c r="H94" i="29"/>
  <c r="I93" i="29"/>
  <c r="H93" i="29"/>
  <c r="I92" i="29"/>
  <c r="H92" i="29"/>
  <c r="I91" i="29"/>
  <c r="H91" i="29"/>
  <c r="I90" i="29"/>
  <c r="H90" i="29"/>
  <c r="I89" i="29"/>
  <c r="H89" i="29"/>
  <c r="I88" i="29"/>
  <c r="H88" i="29"/>
  <c r="I87" i="29"/>
  <c r="H87" i="29"/>
  <c r="I86" i="29"/>
  <c r="H86" i="29"/>
  <c r="I85" i="29"/>
  <c r="H85" i="29"/>
  <c r="I84" i="29"/>
  <c r="H84" i="29"/>
  <c r="I83" i="29"/>
  <c r="H83" i="29"/>
  <c r="I82" i="29"/>
  <c r="H82" i="29"/>
  <c r="I81" i="29"/>
  <c r="H81" i="29"/>
  <c r="I80" i="29"/>
  <c r="H80" i="29"/>
  <c r="I79" i="29"/>
  <c r="H79" i="29"/>
  <c r="I78" i="29"/>
  <c r="H78" i="29"/>
  <c r="I77" i="29"/>
  <c r="H77" i="29"/>
  <c r="I76" i="29"/>
  <c r="H76" i="29"/>
  <c r="I75" i="29"/>
  <c r="H75" i="29"/>
  <c r="I74" i="29"/>
  <c r="H74" i="29"/>
  <c r="I73" i="29"/>
  <c r="H73" i="29"/>
  <c r="I72" i="29"/>
  <c r="H72" i="29"/>
  <c r="I71" i="29"/>
  <c r="H71" i="29"/>
  <c r="I70" i="29"/>
  <c r="H70" i="29"/>
  <c r="I69" i="29"/>
  <c r="H69" i="29"/>
  <c r="I68" i="29"/>
  <c r="H68" i="29"/>
  <c r="I67" i="29"/>
  <c r="H67" i="29"/>
  <c r="I66" i="29"/>
  <c r="H66" i="29"/>
  <c r="I65" i="29"/>
  <c r="H65" i="29"/>
  <c r="I64" i="29"/>
  <c r="H64" i="29"/>
  <c r="I63" i="29"/>
  <c r="H63" i="29"/>
  <c r="I62" i="29"/>
  <c r="H62" i="29"/>
  <c r="I61" i="29"/>
  <c r="H61" i="29"/>
  <c r="I60" i="29"/>
  <c r="H60" i="29"/>
  <c r="I59" i="29"/>
  <c r="H59" i="29"/>
  <c r="I58" i="29"/>
  <c r="H58" i="29"/>
  <c r="I57" i="29"/>
  <c r="H57" i="29"/>
  <c r="I56" i="29"/>
  <c r="H56" i="29"/>
  <c r="I55" i="29"/>
  <c r="H55" i="29"/>
  <c r="I54" i="29"/>
  <c r="H54" i="29"/>
  <c r="I53" i="29"/>
  <c r="H53" i="29"/>
  <c r="I52" i="29"/>
  <c r="H52" i="29"/>
  <c r="I51" i="29"/>
  <c r="H51" i="29"/>
  <c r="I50" i="29"/>
  <c r="H50" i="29"/>
  <c r="I49" i="29"/>
  <c r="H49" i="29"/>
  <c r="I48" i="29"/>
  <c r="H48" i="29"/>
  <c r="I47" i="29"/>
  <c r="H47" i="29"/>
  <c r="I46" i="29"/>
  <c r="H46" i="29"/>
  <c r="I45" i="29"/>
  <c r="H45" i="29"/>
  <c r="I44" i="29"/>
  <c r="H44" i="29"/>
  <c r="I43" i="29"/>
  <c r="H43" i="29"/>
  <c r="I42" i="29"/>
  <c r="H42" i="29"/>
  <c r="I41" i="29"/>
  <c r="H41" i="29"/>
  <c r="I40" i="29"/>
  <c r="H40" i="29"/>
  <c r="I39" i="29"/>
  <c r="H39" i="29"/>
  <c r="I38" i="29"/>
  <c r="H38" i="29"/>
  <c r="I37" i="29"/>
  <c r="H37" i="29"/>
  <c r="I36" i="29"/>
  <c r="H36" i="29"/>
  <c r="I35" i="29"/>
  <c r="H35" i="29"/>
  <c r="I34" i="29"/>
  <c r="H34" i="29"/>
  <c r="I33" i="29"/>
  <c r="H33" i="29"/>
  <c r="I32" i="29"/>
  <c r="H32" i="29"/>
  <c r="I31" i="29"/>
  <c r="H31" i="29"/>
  <c r="I30" i="29"/>
  <c r="H30" i="29"/>
  <c r="I29" i="29"/>
  <c r="H29" i="29"/>
  <c r="I28" i="29"/>
  <c r="H28" i="29"/>
  <c r="I27" i="29"/>
  <c r="H27" i="29"/>
  <c r="I26" i="29"/>
  <c r="H26" i="29"/>
  <c r="I25" i="29"/>
  <c r="H25" i="29"/>
  <c r="I24" i="29"/>
  <c r="H24" i="29"/>
  <c r="I23" i="29"/>
  <c r="H23" i="29"/>
  <c r="I22" i="29"/>
  <c r="H22" i="29"/>
  <c r="I21" i="29"/>
  <c r="H21" i="29"/>
  <c r="I20" i="29"/>
  <c r="H20" i="29"/>
  <c r="I19" i="29"/>
  <c r="H19" i="29"/>
  <c r="I18" i="29"/>
  <c r="H18" i="29"/>
  <c r="I17" i="29"/>
  <c r="H17" i="29"/>
  <c r="I16" i="29"/>
  <c r="H16" i="29"/>
  <c r="I15" i="29"/>
  <c r="H15" i="29"/>
  <c r="I14" i="29"/>
  <c r="H14" i="29"/>
  <c r="I13" i="29"/>
  <c r="H13" i="29"/>
  <c r="I12" i="29"/>
  <c r="H12" i="29"/>
  <c r="I11" i="29"/>
  <c r="H11" i="29"/>
  <c r="I10" i="29"/>
  <c r="H10" i="29"/>
  <c r="I9" i="29"/>
  <c r="H9" i="29"/>
  <c r="I8" i="29"/>
  <c r="H8" i="29"/>
  <c r="I7" i="29"/>
  <c r="H7" i="29"/>
  <c r="I6" i="29"/>
  <c r="H6" i="29"/>
  <c r="I5" i="29"/>
  <c r="H5" i="29"/>
  <c r="I4" i="29"/>
  <c r="H4" i="29"/>
  <c r="I3" i="29"/>
  <c r="H3" i="29"/>
  <c r="H183" i="29" s="1"/>
  <c r="H186" i="29" s="1"/>
  <c r="H187" i="29" s="1"/>
  <c r="D20" i="26"/>
  <c r="D21" i="26" s="1"/>
  <c r="D17" i="26"/>
  <c r="F10" i="26"/>
  <c r="F9" i="26"/>
  <c r="F7" i="26"/>
  <c r="F6" i="26"/>
  <c r="H18" i="25"/>
  <c r="G18" i="25"/>
  <c r="F18" i="25"/>
  <c r="D18" i="25"/>
  <c r="C18" i="25"/>
  <c r="B18" i="10"/>
  <c r="D17" i="10"/>
  <c r="D16" i="10"/>
  <c r="C12" i="10"/>
  <c r="B12" i="10"/>
  <c r="D11" i="10"/>
  <c r="D10" i="10"/>
  <c r="D9" i="10"/>
  <c r="D8" i="10"/>
  <c r="D7" i="10"/>
  <c r="D6" i="10"/>
  <c r="D5" i="10"/>
  <c r="D4" i="10"/>
  <c r="D12" i="10" s="1"/>
  <c r="G4" i="9"/>
  <c r="F4" i="9"/>
  <c r="E4" i="9"/>
  <c r="U6" i="8"/>
  <c r="T6" i="8"/>
  <c r="S6" i="8"/>
  <c r="R6" i="8"/>
  <c r="Q6" i="8"/>
  <c r="P6" i="8"/>
  <c r="O6" i="8"/>
  <c r="N6" i="8"/>
  <c r="M6" i="8"/>
  <c r="L6" i="8"/>
  <c r="K6" i="8"/>
  <c r="J6" i="8"/>
  <c r="I5" i="6"/>
  <c r="H5" i="6"/>
  <c r="G5" i="6"/>
  <c r="F5" i="6"/>
  <c r="E5" i="6"/>
  <c r="D14" i="5"/>
  <c r="C14" i="5"/>
  <c r="L88" i="4"/>
  <c r="K88" i="4"/>
  <c r="L87" i="4"/>
  <c r="K87" i="4"/>
  <c r="K83" i="4"/>
  <c r="L83" i="4" s="1"/>
  <c r="K77" i="4"/>
  <c r="L77" i="4" s="1"/>
  <c r="K75" i="4"/>
  <c r="L75" i="4" s="1"/>
  <c r="L74" i="4"/>
  <c r="K74" i="4"/>
  <c r="L71" i="4"/>
  <c r="K71" i="4"/>
  <c r="K70" i="4"/>
  <c r="L70" i="4" s="1"/>
  <c r="K64" i="4"/>
  <c r="L64" i="4" s="1"/>
  <c r="K60" i="4"/>
  <c r="L60" i="4" s="1"/>
  <c r="L56" i="4"/>
  <c r="K56" i="4"/>
  <c r="L38" i="4"/>
  <c r="K38" i="4"/>
  <c r="K35" i="4"/>
  <c r="L35" i="4" s="1"/>
  <c r="L27" i="4"/>
  <c r="D54" i="2"/>
  <c r="C54" i="2"/>
  <c r="E54" i="2" s="1"/>
  <c r="D53" i="2"/>
  <c r="C53" i="2"/>
  <c r="E53" i="2" s="1"/>
  <c r="E52" i="2"/>
  <c r="E50" i="2"/>
  <c r="E48" i="2"/>
  <c r="C48" i="2"/>
  <c r="E46" i="2"/>
  <c r="E37" i="2"/>
  <c r="D37" i="2"/>
  <c r="C37" i="2"/>
  <c r="C23" i="2"/>
  <c r="D21" i="2"/>
  <c r="C10" i="33"/>
  <c r="H8" i="20"/>
  <c r="H17" i="16"/>
  <c r="H13" i="13"/>
  <c r="H8" i="13"/>
  <c r="C9" i="33"/>
  <c r="G8" i="20"/>
  <c r="G17" i="16"/>
  <c r="G13" i="13"/>
  <c r="G8" i="13"/>
  <c r="C8" i="33"/>
  <c r="H7" i="20"/>
  <c r="C7" i="33"/>
  <c r="G7" i="20"/>
  <c r="G16" i="16"/>
  <c r="G12" i="13"/>
  <c r="G7" i="13"/>
  <c r="C6" i="33"/>
  <c r="H6" i="20"/>
  <c r="H15" i="16"/>
  <c r="H11" i="13"/>
  <c r="H6" i="13"/>
  <c r="C5" i="33"/>
  <c r="G11" i="13"/>
  <c r="C4" i="33"/>
  <c r="H10" i="20"/>
  <c r="H5" i="20"/>
  <c r="H14" i="16"/>
  <c r="H10" i="13"/>
  <c r="H5" i="13"/>
  <c r="G6" i="20"/>
  <c r="G10" i="20"/>
  <c r="G5" i="20"/>
  <c r="G14" i="16"/>
  <c r="G10" i="13"/>
  <c r="G5" i="13"/>
  <c r="G15" i="16"/>
  <c r="G6" i="13"/>
  <c r="C12" i="33"/>
  <c r="H9" i="20"/>
  <c r="H4" i="20"/>
  <c r="H13" i="16"/>
  <c r="H9" i="13"/>
  <c r="H4" i="13"/>
  <c r="C11" i="33"/>
  <c r="G9" i="20"/>
  <c r="G4" i="20"/>
  <c r="G13" i="16"/>
  <c r="G9" i="13"/>
  <c r="G4" i="13"/>
  <c r="H16" i="16"/>
  <c r="H12" i="13"/>
  <c r="H7" i="13"/>
  <c r="D18" i="10" l="1"/>
  <c r="D23" i="26"/>
  <c r="C22" i="39"/>
  <c r="D10" i="39"/>
  <c r="D12" i="39" s="1"/>
  <c r="D20" i="39" s="1"/>
  <c r="D21" i="39" s="1"/>
  <c r="D22" i="39" s="1"/>
</calcChain>
</file>

<file path=xl/sharedStrings.xml><?xml version="1.0" encoding="utf-8"?>
<sst xmlns="http://schemas.openxmlformats.org/spreadsheetml/2006/main" count="3699" uniqueCount="2025">
  <si>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</si>
  <si>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</si>
  <si>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</si>
  <si>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</si>
  <si>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</si>
  <si>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Project Detail</t>
  </si>
  <si>
    <r>
      <rPr>
        <u/>
        <sz val="12"/>
        <color indexed="11"/>
        <rFont val="Calibri"/>
        <family val="2"/>
      </rPr>
      <t>Project Detail</t>
    </r>
  </si>
  <si>
    <t>Profile</t>
  </si>
  <si>
    <t>MIS</t>
  </si>
  <si>
    <t>Networth</t>
  </si>
  <si>
    <t>Completed</t>
  </si>
  <si>
    <t>Promoter Land bank</t>
  </si>
  <si>
    <t>Ongoing</t>
  </si>
  <si>
    <t>Debt</t>
  </si>
  <si>
    <t>COP-MOF</t>
  </si>
  <si>
    <t>PivotTable1</t>
  </si>
  <si>
    <t>PivotTable2</t>
  </si>
  <si>
    <t>PivotTable3</t>
  </si>
  <si>
    <t>Velocity</t>
  </si>
  <si>
    <t>Sheet16</t>
  </si>
  <si>
    <t>Sold- Prime</t>
  </si>
  <si>
    <t>Unsold-Prime</t>
  </si>
  <si>
    <t xml:space="preserve">Unsold </t>
  </si>
  <si>
    <t>Collection Velocity</t>
  </si>
  <si>
    <t>Sheet5</t>
  </si>
  <si>
    <t>Sheet4</t>
  </si>
  <si>
    <t>Sheet6</t>
  </si>
  <si>
    <t>COP &amp; MOF</t>
  </si>
  <si>
    <t>GST</t>
  </si>
  <si>
    <t>PROJECT SPECIFIC ANALYSIS</t>
  </si>
  <si>
    <t>A</t>
  </si>
  <si>
    <t>Name of Developer:</t>
  </si>
  <si>
    <t>ABC Developer</t>
  </si>
  <si>
    <t>Date of Incorporation:</t>
  </si>
  <si>
    <t>Registration number:</t>
  </si>
  <si>
    <t>REG12345</t>
  </si>
  <si>
    <t>PAN No:</t>
  </si>
  <si>
    <t>PAN123456</t>
  </si>
  <si>
    <t>Registered Address:</t>
  </si>
  <si>
    <t>Qube Software Park Bellandur</t>
  </si>
  <si>
    <t>Corporate Office</t>
  </si>
  <si>
    <t>SSG Office Domlur</t>
  </si>
  <si>
    <t>Project Name:</t>
  </si>
  <si>
    <t>Project 1</t>
  </si>
  <si>
    <t>Location Address :</t>
  </si>
  <si>
    <t>Address Bangalore</t>
  </si>
  <si>
    <t>Rera Registration No</t>
  </si>
  <si>
    <t>Rera1234567</t>
  </si>
  <si>
    <t>GST No</t>
  </si>
  <si>
    <t>GST1234567</t>
  </si>
  <si>
    <t>Project start Month / Year</t>
  </si>
  <si>
    <t>Project End Month / Year</t>
  </si>
  <si>
    <t>Google Link of Site</t>
  </si>
  <si>
    <r>
      <rPr>
        <u/>
        <sz val="11"/>
        <color indexed="14"/>
        <rFont val="Calibri"/>
        <family val="2"/>
      </rPr>
      <t>www.google.com</t>
    </r>
  </si>
  <si>
    <t>Paid Up Capital</t>
  </si>
  <si>
    <t>Auditor Name and Address</t>
  </si>
  <si>
    <t>A K Sharma, Indiranagar</t>
  </si>
  <si>
    <t>Authorised Capital</t>
  </si>
  <si>
    <t>Capital</t>
  </si>
  <si>
    <t>B</t>
  </si>
  <si>
    <t>Land Details</t>
  </si>
  <si>
    <t>Land Area  (sq. Mtr)</t>
  </si>
  <si>
    <t>Type of land</t>
  </si>
  <si>
    <t>Residentail</t>
  </si>
  <si>
    <t>Name of the landowner</t>
  </si>
  <si>
    <t>In case of Joint Venture (share in terms of built up area)</t>
  </si>
  <si>
    <t>Promoter 's share</t>
  </si>
  <si>
    <t>Joint Venture Partner's Share</t>
  </si>
  <si>
    <t>____%</t>
  </si>
  <si>
    <t>TDR (if any)</t>
  </si>
  <si>
    <t>N.A</t>
  </si>
  <si>
    <t>C</t>
  </si>
  <si>
    <t>Structure Specification</t>
  </si>
  <si>
    <t>Total Construction Area (sq ft)</t>
  </si>
  <si>
    <t>No. of Buildings</t>
  </si>
  <si>
    <t>D</t>
  </si>
  <si>
    <t>Sharing Ratio (in case of JV)</t>
  </si>
  <si>
    <t>Particulars</t>
  </si>
  <si>
    <t>Saleable are (sqft)</t>
  </si>
  <si>
    <t>No. of flats</t>
  </si>
  <si>
    <t>No. of shops</t>
  </si>
  <si>
    <t>Promoters Share</t>
  </si>
  <si>
    <t>Total</t>
  </si>
  <si>
    <t>E</t>
  </si>
  <si>
    <t>Break up of units</t>
  </si>
  <si>
    <t>Apartments</t>
  </si>
  <si>
    <t>Other</t>
  </si>
  <si>
    <t xml:space="preserve">Construction Work Start date </t>
  </si>
  <si>
    <t>Expected Completion Date</t>
  </si>
  <si>
    <t>No. of Floors</t>
  </si>
  <si>
    <t>Flats</t>
  </si>
  <si>
    <t>Average Area per flat (sq ft)</t>
  </si>
  <si>
    <t>Saleable Area (sqft.)</t>
  </si>
  <si>
    <t>Shops/offices</t>
  </si>
  <si>
    <t>No. of shops / offices</t>
  </si>
  <si>
    <t>Average Area per shop/office (sq ft)</t>
  </si>
  <si>
    <t>Total No. of Units (Flats+shops+offices)</t>
  </si>
  <si>
    <t>Total Saleable Area (sqft.)</t>
  </si>
  <si>
    <t xml:space="preserve">INFORMATION  MAMORANDUM </t>
  </si>
  <si>
    <t xml:space="preserve">Name of Person </t>
  </si>
  <si>
    <t xml:space="preserve">Qualification </t>
  </si>
  <si>
    <t>Functions</t>
  </si>
  <si>
    <t>Experience in Years</t>
  </si>
  <si>
    <t xml:space="preserve">ABOUTE- </t>
  </si>
  <si>
    <t>Date Of Birth</t>
  </si>
  <si>
    <t>DIN</t>
  </si>
  <si>
    <t>PAN</t>
  </si>
  <si>
    <t>AADHAR</t>
  </si>
  <si>
    <t xml:space="preserve">PASSPORT  </t>
  </si>
  <si>
    <t>ADDRESS</t>
  </si>
  <si>
    <t>Sl No.</t>
  </si>
  <si>
    <t>Flat no</t>
  </si>
  <si>
    <t>Tower No</t>
  </si>
  <si>
    <t>Sold/Unsold</t>
  </si>
  <si>
    <t>Date of Booking</t>
  </si>
  <si>
    <t>Month</t>
  </si>
  <si>
    <t>Year</t>
  </si>
  <si>
    <t>Name of Customer</t>
  </si>
  <si>
    <t>Sealable Area (in sq ft)</t>
  </si>
  <si>
    <t>Agreement value</t>
  </si>
  <si>
    <t>Amount Received as on 28-02-2025</t>
  </si>
  <si>
    <t>Amount Receivable</t>
  </si>
  <si>
    <t>Name of Financing Institution</t>
  </si>
  <si>
    <t>G-1</t>
  </si>
  <si>
    <t>Unsold</t>
  </si>
  <si>
    <t>G-2</t>
  </si>
  <si>
    <t>A/101</t>
  </si>
  <si>
    <t>Sold</t>
  </si>
  <si>
    <t>may</t>
  </si>
  <si>
    <t>Satish Pukhraj Mutha</t>
  </si>
  <si>
    <t>A/102</t>
  </si>
  <si>
    <t>A/104</t>
  </si>
  <si>
    <t>B/101</t>
  </si>
  <si>
    <t>B/102</t>
  </si>
  <si>
    <t>Not for Sale</t>
  </si>
  <si>
    <t>B/103</t>
  </si>
  <si>
    <t>B/104</t>
  </si>
  <si>
    <t>A/201</t>
  </si>
  <si>
    <t>A/202</t>
  </si>
  <si>
    <t>A/203</t>
  </si>
  <si>
    <t>A/204</t>
  </si>
  <si>
    <t>B/201</t>
  </si>
  <si>
    <t>B/202</t>
  </si>
  <si>
    <t>B/203</t>
  </si>
  <si>
    <t>B/204</t>
  </si>
  <si>
    <t>A/301</t>
  </si>
  <si>
    <t>A/302</t>
  </si>
  <si>
    <t>A/303</t>
  </si>
  <si>
    <t>A/304</t>
  </si>
  <si>
    <t>B/301</t>
  </si>
  <si>
    <t>B/302</t>
  </si>
  <si>
    <t>B/303</t>
  </si>
  <si>
    <t>B/304</t>
  </si>
  <si>
    <t>A/401</t>
  </si>
  <si>
    <t>Alfred Roy Rodrigues</t>
  </si>
  <si>
    <t>A/402</t>
  </si>
  <si>
    <t>A/403</t>
  </si>
  <si>
    <t>A/404</t>
  </si>
  <si>
    <t>B/401</t>
  </si>
  <si>
    <t>B/402</t>
  </si>
  <si>
    <t>B/403</t>
  </si>
  <si>
    <t>B/404</t>
  </si>
  <si>
    <t>A/501</t>
  </si>
  <si>
    <t>Ruchita Mahendra Gala</t>
  </si>
  <si>
    <t>A/502</t>
  </si>
  <si>
    <t>A/503</t>
  </si>
  <si>
    <t>A/504</t>
  </si>
  <si>
    <t>Meena Mahendra Gala</t>
  </si>
  <si>
    <t>B/501</t>
  </si>
  <si>
    <t>B/502</t>
  </si>
  <si>
    <t>B/503</t>
  </si>
  <si>
    <t>B/504</t>
  </si>
  <si>
    <t>A/601</t>
  </si>
  <si>
    <t>A/602</t>
  </si>
  <si>
    <t>A/603</t>
  </si>
  <si>
    <t>A/604</t>
  </si>
  <si>
    <t>B/601</t>
  </si>
  <si>
    <t>B/602</t>
  </si>
  <si>
    <t>B/603</t>
  </si>
  <si>
    <t>B/604</t>
  </si>
  <si>
    <t>A/701</t>
  </si>
  <si>
    <t>A/702</t>
  </si>
  <si>
    <t>A/704</t>
  </si>
  <si>
    <t>B/701</t>
  </si>
  <si>
    <t>B/703</t>
  </si>
  <si>
    <t>B/704</t>
  </si>
  <si>
    <t>Anit Bharat Soni</t>
  </si>
  <si>
    <t>A/801</t>
  </si>
  <si>
    <t>A/802</t>
  </si>
  <si>
    <t>A/803</t>
  </si>
  <si>
    <t>A/804</t>
  </si>
  <si>
    <t>Bhavesh G Kothari</t>
  </si>
  <si>
    <t>B/801</t>
  </si>
  <si>
    <t>B/802</t>
  </si>
  <si>
    <t>B/803</t>
  </si>
  <si>
    <t>B/804</t>
  </si>
  <si>
    <t>Ganpat Lal Kothari</t>
  </si>
  <si>
    <t>A/901</t>
  </si>
  <si>
    <t>A/902</t>
  </si>
  <si>
    <t>A/903</t>
  </si>
  <si>
    <t>A/904</t>
  </si>
  <si>
    <t>B/901</t>
  </si>
  <si>
    <t>B/902</t>
  </si>
  <si>
    <t>Ajay Walia</t>
  </si>
  <si>
    <t>B/903</t>
  </si>
  <si>
    <t>Ashita Mahendra Gala</t>
  </si>
  <si>
    <t>B/904</t>
  </si>
  <si>
    <t>A/1001</t>
  </si>
  <si>
    <t>A/1002</t>
  </si>
  <si>
    <t>Miloni Mahendra Gala</t>
  </si>
  <si>
    <t>A/1003</t>
  </si>
  <si>
    <t>Sunil Grover</t>
  </si>
  <si>
    <t>A/1004</t>
  </si>
  <si>
    <t>B/1001</t>
  </si>
  <si>
    <t>Seema Grover</t>
  </si>
  <si>
    <t>B/1002</t>
  </si>
  <si>
    <t>B/1003</t>
  </si>
  <si>
    <t>B/1004</t>
  </si>
  <si>
    <t>A/1101</t>
  </si>
  <si>
    <t>A/1102</t>
  </si>
  <si>
    <t>A/1103</t>
  </si>
  <si>
    <t>Chandrakant N Bodiwala</t>
  </si>
  <si>
    <t>A/1104</t>
  </si>
  <si>
    <t>B/1101</t>
  </si>
  <si>
    <t>B/1102</t>
  </si>
  <si>
    <t>B/1103</t>
  </si>
  <si>
    <t>October</t>
  </si>
  <si>
    <t>Bharat Kumar jain</t>
  </si>
  <si>
    <t>B/1104</t>
  </si>
  <si>
    <t>Mehul J Dekhtawala</t>
  </si>
  <si>
    <t>A/1202</t>
  </si>
  <si>
    <t>A/1203</t>
  </si>
  <si>
    <t>A/1204</t>
  </si>
  <si>
    <t>B/1201</t>
  </si>
  <si>
    <t>B/1202</t>
  </si>
  <si>
    <t>B/1203</t>
  </si>
  <si>
    <t>List of Directors</t>
  </si>
  <si>
    <t>List of Shareholders</t>
  </si>
  <si>
    <t>%</t>
  </si>
  <si>
    <t>S .No.</t>
  </si>
  <si>
    <t xml:space="preserve"> Project Name</t>
  </si>
  <si>
    <t>Location</t>
  </si>
  <si>
    <t>Total Area</t>
  </si>
  <si>
    <t>Sold Area</t>
  </si>
  <si>
    <t>Area Unsold</t>
  </si>
  <si>
    <t>Sold Value</t>
  </si>
  <si>
    <t>Unsold Value</t>
  </si>
  <si>
    <t>Year of completion</t>
  </si>
  <si>
    <t>Leased area (sq.ft.)</t>
  </si>
  <si>
    <t>sq. ft.</t>
  </si>
  <si>
    <t>Rs. Crs.</t>
  </si>
  <si>
    <t>S.no.</t>
  </si>
  <si>
    <t xml:space="preserve">Property address </t>
  </si>
  <si>
    <t>Property owner</t>
  </si>
  <si>
    <t>Property area</t>
  </si>
  <si>
    <t>Property Market value</t>
  </si>
  <si>
    <t>Date of acquisition</t>
  </si>
  <si>
    <t>Sr. No.</t>
  </si>
  <si>
    <t>Project Name</t>
  </si>
  <si>
    <t>Company/Firm Name</t>
  </si>
  <si>
    <t>Start</t>
  </si>
  <si>
    <t>End</t>
  </si>
  <si>
    <t>Const. Stage</t>
  </si>
  <si>
    <t>Land Area (Acre)</t>
  </si>
  <si>
    <t>Total Cost</t>
  </si>
  <si>
    <t>Incurred</t>
  </si>
  <si>
    <t>Balance</t>
  </si>
  <si>
    <t>Received</t>
  </si>
  <si>
    <t>Receivable</t>
  </si>
  <si>
    <t>Total Receivables</t>
  </si>
  <si>
    <t>Net Surplus</t>
  </si>
  <si>
    <t>S.No.</t>
  </si>
  <si>
    <t>Name of the Bank/FI</t>
  </si>
  <si>
    <t>Borrower firm/company</t>
  </si>
  <si>
    <t>Tenure (months)</t>
  </si>
  <si>
    <t>Sanctioned (Cr.)</t>
  </si>
  <si>
    <t>Disb. (Cr.)</t>
  </si>
  <si>
    <t>Balance (Cr.)</t>
  </si>
  <si>
    <t>Project name</t>
  </si>
  <si>
    <t>Project - COMOF</t>
  </si>
  <si>
    <t>AS ON 28-02-2025</t>
  </si>
  <si>
    <t>PARTICULARS</t>
  </si>
  <si>
    <t>To be incurred</t>
  </si>
  <si>
    <t>Land Cost (stamp duty)</t>
  </si>
  <si>
    <t>EDC</t>
  </si>
  <si>
    <t>IDC</t>
  </si>
  <si>
    <t>License fee</t>
  </si>
  <si>
    <t>Other Statutory Fee</t>
  </si>
  <si>
    <t xml:space="preserve">Construction cost </t>
  </si>
  <si>
    <t>Sales and Marketing Cost</t>
  </si>
  <si>
    <t>Finance Cost</t>
  </si>
  <si>
    <t>Total (A)</t>
  </si>
  <si>
    <t>Means of Finance</t>
  </si>
  <si>
    <t>Customer Advance</t>
  </si>
  <si>
    <t>Promoter Funds</t>
  </si>
  <si>
    <t>Bank Funds</t>
  </si>
  <si>
    <t>MEANS OF FINANCE</t>
  </si>
  <si>
    <t>Sheet1 - PivotTable1</t>
  </si>
  <si>
    <t>Date of booking (Year)</t>
  </si>
  <si>
    <t>Date of booking (Qtr)</t>
  </si>
  <si>
    <t>Date of booking (Month)</t>
  </si>
  <si>
    <t>Saleable Area  in sq ft (Sum)</t>
  </si>
  <si>
    <t>Recd (Sum)</t>
  </si>
  <si>
    <t>Total Sale Price (Sum)</t>
  </si>
  <si>
    <t>Unit No (Count All)</t>
  </si>
  <si>
    <t>Grand Total</t>
  </si>
  <si>
    <t>Sheet3 - PivotTable1</t>
  </si>
  <si>
    <t>Allotment Date (Year)</t>
  </si>
  <si>
    <t>Allotment Date (Qtr)</t>
  </si>
  <si>
    <t>Allotment Date (Month)</t>
  </si>
  <si>
    <t>Unit No. (Count All)</t>
  </si>
  <si>
    <t>Area (Sum)</t>
  </si>
  <si>
    <t>Received (Sum)</t>
  </si>
  <si>
    <t>Unit Cost (Sum)</t>
  </si>
  <si>
    <t>Sheet3 - Table 1</t>
  </si>
  <si>
    <t>Sheet7 - PivotTable1</t>
  </si>
  <si>
    <t>Date of Booking (Year)</t>
  </si>
  <si>
    <t>Date of Booking (Qtr)</t>
  </si>
  <si>
    <t>Date of Booking (Month)</t>
  </si>
  <si>
    <t>Sold/ Unsold (Count All)</t>
  </si>
  <si>
    <t>Balance Amount (Sum)</t>
  </si>
  <si>
    <t xml:space="preserve"> Amount Received   (Sum)</t>
  </si>
  <si>
    <t>Total vlue of Flat (Sum)</t>
  </si>
  <si>
    <t>Saleable Area (Sum)</t>
  </si>
  <si>
    <t>Sheet8 - PivotTable2</t>
  </si>
  <si>
    <t>Floor No</t>
  </si>
  <si>
    <t>Office No. (Count All)</t>
  </si>
  <si>
    <t>11th</t>
  </si>
  <si>
    <t>12th</t>
  </si>
  <si>
    <t>13th</t>
  </si>
  <si>
    <t>14th</t>
  </si>
  <si>
    <t>15th</t>
  </si>
  <si>
    <t>16th</t>
  </si>
  <si>
    <t>17th</t>
  </si>
  <si>
    <t>18th</t>
  </si>
  <si>
    <t>19th</t>
  </si>
  <si>
    <t>21th</t>
  </si>
  <si>
    <t>22nd</t>
  </si>
  <si>
    <t>23rd</t>
  </si>
  <si>
    <t>24th</t>
  </si>
  <si>
    <t>25th</t>
  </si>
  <si>
    <t>2nd</t>
  </si>
  <si>
    <t>3rd</t>
  </si>
  <si>
    <t>5th</t>
  </si>
  <si>
    <t>6th</t>
  </si>
  <si>
    <t>7th</t>
  </si>
  <si>
    <t>8th</t>
  </si>
  <si>
    <t>9th</t>
  </si>
  <si>
    <t>Sheet8 - Table 1</t>
  </si>
  <si>
    <t>Sheet9 - PivotTable2</t>
  </si>
  <si>
    <t>4th</t>
  </si>
  <si>
    <t>Sheet10 - PivotTable1</t>
  </si>
  <si>
    <t>Sheet10 - PivotTable1 - PivotTa</t>
  </si>
  <si>
    <t>DOB</t>
  </si>
  <si>
    <t>Received (Count All)</t>
  </si>
  <si>
    <t xml:space="preserve"> 3 (Sum)</t>
  </si>
  <si>
    <t xml:space="preserve"> 4 (Sum)</t>
  </si>
  <si>
    <t xml:space="preserve"> 2 (Sum)</t>
  </si>
  <si>
    <t>1st</t>
  </si>
  <si>
    <t>Sheet10 - PivotTable1 - Table 1</t>
  </si>
  <si>
    <t>Sheet10 - Table 1</t>
  </si>
  <si>
    <t>Sheet12 - PivotTable2</t>
  </si>
  <si>
    <t>Sheet12 - PivotTable2 - PivotTa</t>
  </si>
  <si>
    <t>Sales Value (Without Tax)</t>
  </si>
  <si>
    <t xml:space="preserve">  (Sum)</t>
  </si>
  <si>
    <t>Receivables (Sum)</t>
  </si>
  <si>
    <t xml:space="preserve"> 4 (Count All)</t>
  </si>
  <si>
    <t>G</t>
  </si>
  <si>
    <t>LG</t>
  </si>
  <si>
    <t>Sheet12 - PivotTable2 - Table 1</t>
  </si>
  <si>
    <t>Sheet13 - PivotTable3</t>
  </si>
  <si>
    <t>Sheet13 - PivotTable3 - PivotTa</t>
  </si>
  <si>
    <t>DOB (Year)</t>
  </si>
  <si>
    <t>DOB (Qtr)</t>
  </si>
  <si>
    <t>DOB (Month)</t>
  </si>
  <si>
    <t>Sheet13 - PivotTable3 - Table 1</t>
  </si>
  <si>
    <t>Monthwise-Latest 12 months</t>
  </si>
  <si>
    <t>Area Sold</t>
  </si>
  <si>
    <t>Units Sold</t>
  </si>
  <si>
    <t>Rate</t>
  </si>
  <si>
    <t>Value Sold (Cr)</t>
  </si>
  <si>
    <t>Received (Cr)</t>
  </si>
  <si>
    <t>Receivables (Cr)</t>
  </si>
  <si>
    <t>Particluars</t>
  </si>
  <si>
    <t>Oct-Dec-22</t>
  </si>
  <si>
    <t>Jan- Feb 23</t>
  </si>
  <si>
    <t>Area Sold (sq. ft.) - Projected</t>
  </si>
  <si>
    <t>Area Sold (sq. ft.) - Actual</t>
  </si>
  <si>
    <t>Collection (Cr.) - Projected</t>
  </si>
  <si>
    <t>Collection (Cr.) - Actual</t>
  </si>
  <si>
    <t>Amt. (cr.)</t>
  </si>
  <si>
    <t>Incremental Collection Post disbursal is</t>
  </si>
  <si>
    <t>Stipulated SI</t>
  </si>
  <si>
    <t>ABFL Share</t>
  </si>
  <si>
    <t>ABFL Disbursal</t>
  </si>
  <si>
    <t>ABFL POS</t>
  </si>
  <si>
    <t>Repaid</t>
  </si>
  <si>
    <t xml:space="preserve">Short Cap </t>
  </si>
  <si>
    <t>Sheet11 - PivotTable1</t>
  </si>
  <si>
    <t>Sheet11 - PivotTable1 - PivotTa</t>
  </si>
  <si>
    <t>DOB (YMD)</t>
  </si>
  <si>
    <t>Sales Value (Without Tax) (Sum)</t>
  </si>
  <si>
    <t>Sheet11 - PivotTable1 - Table 1</t>
  </si>
  <si>
    <t>S No.</t>
  </si>
  <si>
    <t>Unit No</t>
  </si>
  <si>
    <t>Customer Name</t>
  </si>
  <si>
    <t>Saleable Area</t>
  </si>
  <si>
    <t>Receivables</t>
  </si>
  <si>
    <t xml:space="preserve"> </t>
  </si>
  <si>
    <t>PLOT NO - 01</t>
  </si>
  <si>
    <t>Amar Singh Bhadauria</t>
  </si>
  <si>
    <t>PLOT NO - 02</t>
  </si>
  <si>
    <t>Abhishek Yadav</t>
  </si>
  <si>
    <t>PLOT NO - 03</t>
  </si>
  <si>
    <t>Anju Yadav</t>
  </si>
  <si>
    <t>PLOT NO - 04</t>
  </si>
  <si>
    <t>Raj Kumar</t>
  </si>
  <si>
    <t>PLOT NO - 05</t>
  </si>
  <si>
    <t>Rajpal Singh</t>
  </si>
  <si>
    <t>PLOT NO - 06</t>
  </si>
  <si>
    <t>Harsh Singh</t>
  </si>
  <si>
    <t>PLOT NO - 07</t>
  </si>
  <si>
    <t>Santosh</t>
  </si>
  <si>
    <t>PLOT NO - 08</t>
  </si>
  <si>
    <t>Harsh Rathore</t>
  </si>
  <si>
    <t>PLOT NO - 09</t>
  </si>
  <si>
    <t>Kunal Chopra</t>
  </si>
  <si>
    <t>PLOT NO - 10</t>
  </si>
  <si>
    <t>Ankur Jain</t>
  </si>
  <si>
    <t>PLOT NO - 11</t>
  </si>
  <si>
    <t>Vinay Kumar</t>
  </si>
  <si>
    <t>PLOT NO - 12</t>
  </si>
  <si>
    <t>Nitish Kumar Chand</t>
  </si>
  <si>
    <t>PLOT NO - 12A</t>
  </si>
  <si>
    <t>Anu Bala</t>
  </si>
  <si>
    <t>PLOT NO - 14</t>
  </si>
  <si>
    <t>Sumit Kumar</t>
  </si>
  <si>
    <t>PLOT NO - 15</t>
  </si>
  <si>
    <t>Ravinder Kumar Saini</t>
  </si>
  <si>
    <t>PLOT NO - 16</t>
  </si>
  <si>
    <t>Nimesh Saini</t>
  </si>
  <si>
    <t>PLOT NO - 17</t>
  </si>
  <si>
    <t>Ashok Kumar</t>
  </si>
  <si>
    <t>PLOT NO - 18</t>
  </si>
  <si>
    <t>Amit Kumar</t>
  </si>
  <si>
    <t>PLOT NO - 19</t>
  </si>
  <si>
    <t>Krishna Dahiya</t>
  </si>
  <si>
    <t>PLOT NO - 20</t>
  </si>
  <si>
    <t>Rimpy Goel</t>
  </si>
  <si>
    <t>PLOT NO - 21</t>
  </si>
  <si>
    <t>PLOT NO - 22</t>
  </si>
  <si>
    <t>Rekha Rani</t>
  </si>
  <si>
    <t>PLOT NO - 23</t>
  </si>
  <si>
    <t>Chirag Bhandula</t>
  </si>
  <si>
    <t>PLOT NO - 24</t>
  </si>
  <si>
    <t>Geetika Sachdeva</t>
  </si>
  <si>
    <t>PLOT NO - 25</t>
  </si>
  <si>
    <t>Umesh Kumar Sharma</t>
  </si>
  <si>
    <t>PLOT NO - 28</t>
  </si>
  <si>
    <t>Gaurav Arya</t>
  </si>
  <si>
    <t>PLOT NO - 30</t>
  </si>
  <si>
    <t>Vinita Yadav</t>
  </si>
  <si>
    <t>PLOT NO - 31</t>
  </si>
  <si>
    <t>PLOT NO - 33</t>
  </si>
  <si>
    <t>Aditya Dhankar</t>
  </si>
  <si>
    <t>PLOT NO - 35</t>
  </si>
  <si>
    <t>Sandeep Khemka</t>
  </si>
  <si>
    <t>PLOT NO - 37</t>
  </si>
  <si>
    <t>Sumit Dalal</t>
  </si>
  <si>
    <t>PLOT NO - 38</t>
  </si>
  <si>
    <t>Sarika</t>
  </si>
  <si>
    <t>PLOT NO - 39</t>
  </si>
  <si>
    <t>Indel Singh</t>
  </si>
  <si>
    <t>PLOT NO - 40</t>
  </si>
  <si>
    <t>Sunita Patel</t>
  </si>
  <si>
    <t>PLOT NO - 42</t>
  </si>
  <si>
    <t>Abhishek Sharma</t>
  </si>
  <si>
    <t>PLOT NO - 43</t>
  </si>
  <si>
    <t>Satbir</t>
  </si>
  <si>
    <t>PLOT NO - 44</t>
  </si>
  <si>
    <t>Chander Kishor</t>
  </si>
  <si>
    <t>PLOT NO - 45</t>
  </si>
  <si>
    <t>Anil Kumar Srivastava</t>
  </si>
  <si>
    <t>PLOT NO - 46</t>
  </si>
  <si>
    <t>PLOT NO - 47</t>
  </si>
  <si>
    <t>Varun Chauhan</t>
  </si>
  <si>
    <t>PLOT NO - 48</t>
  </si>
  <si>
    <t>Satpal</t>
  </si>
  <si>
    <t>PLOT NO - 49</t>
  </si>
  <si>
    <t>PLOT NO - 50</t>
  </si>
  <si>
    <t>Srishti Bishnoi</t>
  </si>
  <si>
    <t>PLOT NO - 51</t>
  </si>
  <si>
    <t>Naveen Kumar</t>
  </si>
  <si>
    <t>PLOT NO - 52</t>
  </si>
  <si>
    <t>Reena Rathi</t>
  </si>
  <si>
    <t>PLOT NO - 55</t>
  </si>
  <si>
    <t>Pradeep Kumar</t>
  </si>
  <si>
    <t>PLOT NO - 56</t>
  </si>
  <si>
    <t>Nishu Sharma</t>
  </si>
  <si>
    <t>PLOT NO - 58</t>
  </si>
  <si>
    <t>PLOT NO - 61</t>
  </si>
  <si>
    <t>Kaveri Aggarwal</t>
  </si>
  <si>
    <t>PLOT NO - 62</t>
  </si>
  <si>
    <t>Arun Goyal</t>
  </si>
  <si>
    <t>PLOT NO - 65</t>
  </si>
  <si>
    <t>Namita Dhingra</t>
  </si>
  <si>
    <t>PLOT NO - 66</t>
  </si>
  <si>
    <t>Pawan Grover</t>
  </si>
  <si>
    <t>PLOT NO - 67</t>
  </si>
  <si>
    <t>Lalita Devi</t>
  </si>
  <si>
    <t>PLOT NO - 70</t>
  </si>
  <si>
    <t>PLOT NO - 71</t>
  </si>
  <si>
    <t>Kusum Lata</t>
  </si>
  <si>
    <t>PLOT NO - 72</t>
  </si>
  <si>
    <t>Renu Devi</t>
  </si>
  <si>
    <t>PLOT NO - 73</t>
  </si>
  <si>
    <t>Amit Kaushik</t>
  </si>
  <si>
    <t>PLOT NO - 74</t>
  </si>
  <si>
    <t>Jai Bhagwan Kaushik</t>
  </si>
  <si>
    <t>PLOT NO - 78</t>
  </si>
  <si>
    <t>Kalpna</t>
  </si>
  <si>
    <t>PLOT NO - 79</t>
  </si>
  <si>
    <t>Preeti</t>
  </si>
  <si>
    <t>PLOT NO - 80</t>
  </si>
  <si>
    <t>Harish Gupta</t>
  </si>
  <si>
    <t>PLOT NO - 81</t>
  </si>
  <si>
    <t>Sonam</t>
  </si>
  <si>
    <t>PLOT NO - 83</t>
  </si>
  <si>
    <t>Rahul Yadav</t>
  </si>
  <si>
    <t>PLOT NO - 84</t>
  </si>
  <si>
    <t>Rakesh Sharma</t>
  </si>
  <si>
    <t>PLOT NO - 85</t>
  </si>
  <si>
    <t>Rekha Kumari</t>
  </si>
  <si>
    <t>PLOT NO - 87</t>
  </si>
  <si>
    <t>Urmila Devi</t>
  </si>
  <si>
    <t>PLOT NO - 88</t>
  </si>
  <si>
    <t>Ghanshyam</t>
  </si>
  <si>
    <t>PLOT NO - 89</t>
  </si>
  <si>
    <t>Meenakshi</t>
  </si>
  <si>
    <t>PLOT NO - 90</t>
  </si>
  <si>
    <t>Poonam Oberoi</t>
  </si>
  <si>
    <t>PLOT NO - 93</t>
  </si>
  <si>
    <t>Reena</t>
  </si>
  <si>
    <t>PLOT NO - 95</t>
  </si>
  <si>
    <t>Harkesh Yadav</t>
  </si>
  <si>
    <t>PLOT NO - 96</t>
  </si>
  <si>
    <t>Kuldeep Kaushik</t>
  </si>
  <si>
    <t>PLOT NO - 97</t>
  </si>
  <si>
    <t>Abhishek Vats</t>
  </si>
  <si>
    <t>PLOT NO - 98</t>
  </si>
  <si>
    <t>Suman Dhankhar</t>
  </si>
  <si>
    <t>PLOT NO - 99</t>
  </si>
  <si>
    <t>Amarpal</t>
  </si>
  <si>
    <t>PLOT NO - 100</t>
  </si>
  <si>
    <t>Rohit Lohchab</t>
  </si>
  <si>
    <t>PLOT NO - 101</t>
  </si>
  <si>
    <t>Sandeep Kumar Mishra</t>
  </si>
  <si>
    <t>PLOT NO - 102</t>
  </si>
  <si>
    <t>Annu Yadav</t>
  </si>
  <si>
    <t>PLOT NO - 103</t>
  </si>
  <si>
    <t>Khajan Singh Yadav</t>
  </si>
  <si>
    <t>PLOT NO - 104</t>
  </si>
  <si>
    <t>Tara Chand</t>
  </si>
  <si>
    <t>PLOT NO - 105</t>
  </si>
  <si>
    <t>PLOT NO - 106</t>
  </si>
  <si>
    <t>Meenu Chopra</t>
  </si>
  <si>
    <t>PLOT NO - 108</t>
  </si>
  <si>
    <t>Mukesh Saini</t>
  </si>
  <si>
    <t>PLOT NO - 109</t>
  </si>
  <si>
    <t>Shyam Lal Mahajan</t>
  </si>
  <si>
    <t>PLOT NO - 110</t>
  </si>
  <si>
    <t>Ranju Ray</t>
  </si>
  <si>
    <t>PLOT NO - 111</t>
  </si>
  <si>
    <t>Nirmala</t>
  </si>
  <si>
    <t>PLOT NO - 112</t>
  </si>
  <si>
    <t>Jitender Kumar Sharma</t>
  </si>
  <si>
    <t>PLOT NO - 113</t>
  </si>
  <si>
    <t>Sharma Kalwant</t>
  </si>
  <si>
    <t>PLOT NO - 114</t>
  </si>
  <si>
    <t>Priyanka</t>
  </si>
  <si>
    <t>PLOT NO - 115</t>
  </si>
  <si>
    <t>Chetan Prakash</t>
  </si>
  <si>
    <t>PLOT NO - 116</t>
  </si>
  <si>
    <t>Ninder Jit Singh Chandhoke</t>
  </si>
  <si>
    <t>PLOT NO - 117</t>
  </si>
  <si>
    <t>Manoj Pande</t>
  </si>
  <si>
    <t>PLOT NO - 118</t>
  </si>
  <si>
    <t>Kamla Kant Pande</t>
  </si>
  <si>
    <t>PLOT NO - 119</t>
  </si>
  <si>
    <t>Santosh Devi Aggarwal</t>
  </si>
  <si>
    <t>PLOT NO - 120</t>
  </si>
  <si>
    <t>Shashi Sahni</t>
  </si>
  <si>
    <t>PLOT NO - 121</t>
  </si>
  <si>
    <t>PLOT NO - 122</t>
  </si>
  <si>
    <t>Vivek Kumar</t>
  </si>
  <si>
    <t>PLOT NO - 123</t>
  </si>
  <si>
    <t>Shradha Sharma</t>
  </si>
  <si>
    <t>PLOT NO - 124</t>
  </si>
  <si>
    <t>Satyawan Dhariwal</t>
  </si>
  <si>
    <t>PLOT NO - 125</t>
  </si>
  <si>
    <t>Ashwani Kumar</t>
  </si>
  <si>
    <t>PLOT NO - 126</t>
  </si>
  <si>
    <t>Sandeep Kumar</t>
  </si>
  <si>
    <t>PLOT NO - 127</t>
  </si>
  <si>
    <t>Lalit Kalra</t>
  </si>
  <si>
    <t>PLOT NO - 128</t>
  </si>
  <si>
    <t>Monika Bhagat</t>
  </si>
  <si>
    <t>PLOT NO - 129</t>
  </si>
  <si>
    <t>Jagat Ram Arora</t>
  </si>
  <si>
    <t>PLOT NO - 130</t>
  </si>
  <si>
    <t>Arun Kumar Rohilla</t>
  </si>
  <si>
    <t>PLOT NO - 131</t>
  </si>
  <si>
    <t>PLOT NO - 132</t>
  </si>
  <si>
    <t>Sukhdev Singh</t>
  </si>
  <si>
    <t>PLOT NO - 133</t>
  </si>
  <si>
    <t>Devender Kumar</t>
  </si>
  <si>
    <t>PLOT NO - 134</t>
  </si>
  <si>
    <t>Mahesh Dahiya</t>
  </si>
  <si>
    <t>PLOT NO - 135</t>
  </si>
  <si>
    <t>Kamlesh</t>
  </si>
  <si>
    <t>PLOT NO - 136</t>
  </si>
  <si>
    <t>Vijay Kumar Ahuja</t>
  </si>
  <si>
    <t>PLOT NO - 137</t>
  </si>
  <si>
    <t>PLOT NO - 138</t>
  </si>
  <si>
    <t>Naveen Kumar Goyal</t>
  </si>
  <si>
    <t>PLOT NO - 139</t>
  </si>
  <si>
    <t>Kusum Chaudhary</t>
  </si>
  <si>
    <t>PLOT NO - 140</t>
  </si>
  <si>
    <t>Nitin Uppal</t>
  </si>
  <si>
    <t>PLOT NO - 141</t>
  </si>
  <si>
    <t>Rajkamal Singh Bhatia</t>
  </si>
  <si>
    <t>PLOT NO - 142</t>
  </si>
  <si>
    <t>Aruna Bhatia</t>
  </si>
  <si>
    <t>PLOT NO - 143</t>
  </si>
  <si>
    <t>PLOT NO - 144</t>
  </si>
  <si>
    <t>Kritika Jaiswal</t>
  </si>
  <si>
    <t>PLOT NO - 145</t>
  </si>
  <si>
    <t>Renu Gill</t>
  </si>
  <si>
    <t>PLOT NO - 146</t>
  </si>
  <si>
    <t>Pooja Singh</t>
  </si>
  <si>
    <t>PLOT NO - 147</t>
  </si>
  <si>
    <t>Dikshit Khanna</t>
  </si>
  <si>
    <t>PLOT NO - 148</t>
  </si>
  <si>
    <t>Vishal Kwatra</t>
  </si>
  <si>
    <t>PLOT NO - 149</t>
  </si>
  <si>
    <t>Deepak Ahuja</t>
  </si>
  <si>
    <t>PLOT NO - 150</t>
  </si>
  <si>
    <t>Meetesh Narula</t>
  </si>
  <si>
    <t>PLOT NO - 151</t>
  </si>
  <si>
    <t>Sheetal Narula</t>
  </si>
  <si>
    <t>PLOT NO - 152</t>
  </si>
  <si>
    <t>Jyotsana</t>
  </si>
  <si>
    <t>PLOT NO - 153</t>
  </si>
  <si>
    <t>Hari Krishan Kukreti</t>
  </si>
  <si>
    <t>PLOT NO - 154</t>
  </si>
  <si>
    <t>PLOT NO - 155</t>
  </si>
  <si>
    <t>Anoop Kumar</t>
  </si>
  <si>
    <t>PLOT NO - 156</t>
  </si>
  <si>
    <t>Renu Dhankhar</t>
  </si>
  <si>
    <t>PLOT NO - 157</t>
  </si>
  <si>
    <t>Neeraj Mohan</t>
  </si>
  <si>
    <t>PLOT NO - 158</t>
  </si>
  <si>
    <t>Anish Yadav</t>
  </si>
  <si>
    <t>PLOT NO - 159</t>
  </si>
  <si>
    <t>Pushplata Yadav</t>
  </si>
  <si>
    <t>PLOT NO - 160</t>
  </si>
  <si>
    <t>Madhu Yadav</t>
  </si>
  <si>
    <t>PLOT NO - 161</t>
  </si>
  <si>
    <t>Monika Garg</t>
  </si>
  <si>
    <t>PLOT NO - 162</t>
  </si>
  <si>
    <t>Meena</t>
  </si>
  <si>
    <t>PLOT NO - 163</t>
  </si>
  <si>
    <t>Krishan Lather</t>
  </si>
  <si>
    <t>PLOT NO - 164</t>
  </si>
  <si>
    <t>Harish Singh Rawat</t>
  </si>
  <si>
    <t>PLOT NO - 165</t>
  </si>
  <si>
    <t>PLOT NO - 166</t>
  </si>
  <si>
    <t>Taranpreet Kaur</t>
  </si>
  <si>
    <t>PLOT NO - 167</t>
  </si>
  <si>
    <t>Rajiv Yadav</t>
  </si>
  <si>
    <t>PLOT NO - 168</t>
  </si>
  <si>
    <t>Uma Gupta</t>
  </si>
  <si>
    <t>PLOT NO - 169</t>
  </si>
  <si>
    <t>Pinki Devi</t>
  </si>
  <si>
    <t>PLOT NO - 170</t>
  </si>
  <si>
    <t>Priya</t>
  </si>
  <si>
    <t>PLOT NO - 171</t>
  </si>
  <si>
    <t>Kanhaiya Kumar</t>
  </si>
  <si>
    <t>PLOT NO - 172</t>
  </si>
  <si>
    <t>Sunil Kumar</t>
  </si>
  <si>
    <t>PLOT NO - 173</t>
  </si>
  <si>
    <t>Minakshi Chauhan</t>
  </si>
  <si>
    <t>PLOT NO - 174</t>
  </si>
  <si>
    <t>Anita Yadav</t>
  </si>
  <si>
    <t>PLOT NO - 175</t>
  </si>
  <si>
    <t>Monika Singh</t>
  </si>
  <si>
    <t>PLOT NO - 176</t>
  </si>
  <si>
    <t>Vinod Kumar</t>
  </si>
  <si>
    <t>PLOT NO - 177</t>
  </si>
  <si>
    <t>Sonia Palta</t>
  </si>
  <si>
    <t>PLOT NO - 178</t>
  </si>
  <si>
    <t>Ved Parkash</t>
  </si>
  <si>
    <t>PLOT NO - 179</t>
  </si>
  <si>
    <t>Lalit Chopra</t>
  </si>
  <si>
    <t>PLOT NO - 180</t>
  </si>
  <si>
    <t>Harpreet Kaur</t>
  </si>
  <si>
    <t>PLOT NO - 183</t>
  </si>
  <si>
    <t>Rakhi</t>
  </si>
  <si>
    <t>PLOT NO - 185</t>
  </si>
  <si>
    <t>Kavita</t>
  </si>
  <si>
    <t>PLOT NO - 186</t>
  </si>
  <si>
    <t>Monika</t>
  </si>
  <si>
    <t>PLOT NO - 188</t>
  </si>
  <si>
    <t>Birender Singh</t>
  </si>
  <si>
    <t>PLOT NO - 189</t>
  </si>
  <si>
    <t>Sucheta Rani</t>
  </si>
  <si>
    <t>PLOT NO - 190</t>
  </si>
  <si>
    <t>Ankit Gupta</t>
  </si>
  <si>
    <t>PLOT NO - 191</t>
  </si>
  <si>
    <t>Mahavir Prasad Jain</t>
  </si>
  <si>
    <t>PLOT NO - 192</t>
  </si>
  <si>
    <t>Nikhita Sharma</t>
  </si>
  <si>
    <t>PLOT NO - 193</t>
  </si>
  <si>
    <t>Meenu</t>
  </si>
  <si>
    <t>PLOT NO - 195</t>
  </si>
  <si>
    <t>Pooja Duhan</t>
  </si>
  <si>
    <t>PLOT NO - 196</t>
  </si>
  <si>
    <t>Vijay Singh</t>
  </si>
  <si>
    <t>PLOT NO - 198</t>
  </si>
  <si>
    <t>Himanshu Agarwal</t>
  </si>
  <si>
    <t>PLOT NO - 200</t>
  </si>
  <si>
    <t>Shalini Jain</t>
  </si>
  <si>
    <t>PLOT NO - 201</t>
  </si>
  <si>
    <t>Kavita Sharma</t>
  </si>
  <si>
    <t>PLOT NO - 202</t>
  </si>
  <si>
    <t>Archana Yadav</t>
  </si>
  <si>
    <t>PLOT NO - 203</t>
  </si>
  <si>
    <t>PLOT NO - 207</t>
  </si>
  <si>
    <t>INFRA TECHNOCRATS</t>
  </si>
  <si>
    <t>PLOT NO - 208</t>
  </si>
  <si>
    <t>PLOT NO - 209</t>
  </si>
  <si>
    <t>Jyoti Chahal</t>
  </si>
  <si>
    <t>PLOT NO - 210</t>
  </si>
  <si>
    <t>Prerana Srivastava</t>
  </si>
  <si>
    <t>PLOT NO - 211</t>
  </si>
  <si>
    <t>Ram Prasad Aryal</t>
  </si>
  <si>
    <t>PLOT NO - 212</t>
  </si>
  <si>
    <t>Ram Avatar</t>
  </si>
  <si>
    <t>PLOT NO - 213</t>
  </si>
  <si>
    <t>Pooja Dhingra</t>
  </si>
  <si>
    <t>PLOT NO - 214</t>
  </si>
  <si>
    <t>Amit Dahiya</t>
  </si>
  <si>
    <t>PLOT NO - 216</t>
  </si>
  <si>
    <t>Ashok Kumar Grover</t>
  </si>
  <si>
    <t xml:space="preserve">S.NO </t>
  </si>
  <si>
    <t xml:space="preserve">PLOT NO </t>
  </si>
  <si>
    <t>PLOT AREA 
(SQ.YD)</t>
  </si>
  <si>
    <t xml:space="preserve">INVENTORY STATUS </t>
  </si>
  <si>
    <t>DEVELOPER / OWNER</t>
  </si>
  <si>
    <t>PLOT NO - 26</t>
  </si>
  <si>
    <t>UNDER FREEZE | PLEDGE</t>
  </si>
  <si>
    <t>OWNER - DHARAM SINGH</t>
  </si>
  <si>
    <t>PLOT NO - 27</t>
  </si>
  <si>
    <t>PLOT NO - 29</t>
  </si>
  <si>
    <t>PLOT NO - 32</t>
  </si>
  <si>
    <t>PLOT NO - 34</t>
  </si>
  <si>
    <t>PLOT NO - 36</t>
  </si>
  <si>
    <t>PLOT NO - 41</t>
  </si>
  <si>
    <t>PLOT NO - 53</t>
  </si>
  <si>
    <t>PLOT NO - 54</t>
  </si>
  <si>
    <t>PLOT NO - 57</t>
  </si>
  <si>
    <t>PLOT NO - 59</t>
  </si>
  <si>
    <t>PLOT NO - 60</t>
  </si>
  <si>
    <t>PLOT NO - 63</t>
  </si>
  <si>
    <t>PLOT NO - 64</t>
  </si>
  <si>
    <t>PLOT NO - 68</t>
  </si>
  <si>
    <t>PLOT NO - 69</t>
  </si>
  <si>
    <t>PLOT NO - 75</t>
  </si>
  <si>
    <t>PLOT NO - 76</t>
  </si>
  <si>
    <t>PLOT NO - 77</t>
  </si>
  <si>
    <t>MORTAGAGE | PLEDGE</t>
  </si>
  <si>
    <t>PLOT NO - 82</t>
  </si>
  <si>
    <t>PLOT NO - 86</t>
  </si>
  <si>
    <t>PLOT NO - 91</t>
  </si>
  <si>
    <t>PLOT NO - 92</t>
  </si>
  <si>
    <t>PLOT NO - 94</t>
  </si>
  <si>
    <t>PLOT NO - 107</t>
  </si>
  <si>
    <t>PLOT NO - 181</t>
  </si>
  <si>
    <t>OWNER - RAVINDER SINGH</t>
  </si>
  <si>
    <t>PLOT NO - 182</t>
  </si>
  <si>
    <t>PLOT NO - 184</t>
  </si>
  <si>
    <t>PLOT NO - 187</t>
  </si>
  <si>
    <t>PLOT NO - 194</t>
  </si>
  <si>
    <t>PLOT NO - 197</t>
  </si>
  <si>
    <t>PLOT NO - 199</t>
  </si>
  <si>
    <t>PLOT NO - 204</t>
  </si>
  <si>
    <t>PLOT NO - 205</t>
  </si>
  <si>
    <t>PLOT NO - 206</t>
  </si>
  <si>
    <t>PLOT NO - 215</t>
  </si>
  <si>
    <t>Developer</t>
  </si>
  <si>
    <t>Unit No. 1</t>
  </si>
  <si>
    <t>Commercial Unit</t>
  </si>
  <si>
    <t>Unit No. 2</t>
  </si>
  <si>
    <t>Unit No. 3</t>
  </si>
  <si>
    <t>Unit No. 4</t>
  </si>
  <si>
    <t>Unit No. 5</t>
  </si>
  <si>
    <t>Unit No. 6</t>
  </si>
  <si>
    <t>Unit No. 7</t>
  </si>
  <si>
    <t>Unit No. 8</t>
  </si>
  <si>
    <t>Unit No. 9</t>
  </si>
  <si>
    <t>Unit No. 10</t>
  </si>
  <si>
    <t>Unit No. 11</t>
  </si>
  <si>
    <t>Unit No. 12</t>
  </si>
  <si>
    <t>Unit No. 13</t>
  </si>
  <si>
    <t>Unit No. 14</t>
  </si>
  <si>
    <t>Unit No. 15</t>
  </si>
  <si>
    <t>Unit No. 16</t>
  </si>
  <si>
    <t>Unit No. 17</t>
  </si>
  <si>
    <t>Unit No. 18</t>
  </si>
  <si>
    <t>Unit No. 19</t>
  </si>
  <si>
    <t>Unit No. 20</t>
  </si>
  <si>
    <t>Unit No. 21</t>
  </si>
  <si>
    <t>Unit No. 22</t>
  </si>
  <si>
    <t>Unit No. 23</t>
  </si>
  <si>
    <t>Unit No. 24</t>
  </si>
  <si>
    <t>Sheet14 - PivotTable1</t>
  </si>
  <si>
    <t>Sheet15 - PivotTable2</t>
  </si>
  <si>
    <t>PLOT AREA  (SQ.YD)</t>
  </si>
  <si>
    <t>PLOT AREA  (SQ.YD) (Sum)</t>
  </si>
  <si>
    <t>Sheet15 - Table 1</t>
  </si>
  <si>
    <t>Office No.</t>
  </si>
  <si>
    <t>Area (sq.ft.)</t>
  </si>
  <si>
    <t>Floor</t>
  </si>
  <si>
    <t>203A</t>
  </si>
  <si>
    <t>203B</t>
  </si>
  <si>
    <t>205A</t>
  </si>
  <si>
    <t>205B</t>
  </si>
  <si>
    <t>214A</t>
  </si>
  <si>
    <t>214B</t>
  </si>
  <si>
    <t>414A</t>
  </si>
  <si>
    <t>605A</t>
  </si>
  <si>
    <t>705A</t>
  </si>
  <si>
    <t>Shared Space</t>
  </si>
  <si>
    <t>914A</t>
  </si>
  <si>
    <t>914B</t>
  </si>
  <si>
    <t>10th</t>
  </si>
  <si>
    <t>SERVICE FLOOR</t>
  </si>
  <si>
    <t>1105A</t>
  </si>
  <si>
    <t>1114B</t>
  </si>
  <si>
    <t>1214A</t>
  </si>
  <si>
    <t>1305-A</t>
  </si>
  <si>
    <t>1314-A</t>
  </si>
  <si>
    <t>1314-B</t>
  </si>
  <si>
    <t>1405A</t>
  </si>
  <si>
    <t>1414A</t>
  </si>
  <si>
    <t>1414B</t>
  </si>
  <si>
    <t>1505A</t>
  </si>
  <si>
    <t>1614A</t>
  </si>
  <si>
    <t>1614B</t>
  </si>
  <si>
    <t>1714A</t>
  </si>
  <si>
    <t>1714B</t>
  </si>
  <si>
    <t>1805A</t>
  </si>
  <si>
    <t>1814A</t>
  </si>
  <si>
    <t>1814B</t>
  </si>
  <si>
    <t>1905A</t>
  </si>
  <si>
    <t>1914A</t>
  </si>
  <si>
    <t>1914B</t>
  </si>
  <si>
    <t>20th</t>
  </si>
  <si>
    <t>21st</t>
  </si>
  <si>
    <t>2114A</t>
  </si>
  <si>
    <t>2105A</t>
  </si>
  <si>
    <t>2105B</t>
  </si>
  <si>
    <t>2114B</t>
  </si>
  <si>
    <t>2203B</t>
  </si>
  <si>
    <t>2205A</t>
  </si>
  <si>
    <t>2305A</t>
  </si>
  <si>
    <t>2306A</t>
  </si>
  <si>
    <t>2406A</t>
  </si>
  <si>
    <t>2414A</t>
  </si>
  <si>
    <t>2414B</t>
  </si>
  <si>
    <t>2514A</t>
  </si>
  <si>
    <t>26th</t>
  </si>
  <si>
    <t>27th</t>
  </si>
  <si>
    <t xml:space="preserve">Collection Report </t>
  </si>
  <si>
    <t>Latest 12 Month</t>
  </si>
  <si>
    <t>Collection (in Crs)</t>
  </si>
  <si>
    <t>Name</t>
  </si>
  <si>
    <t>Allotment Date</t>
  </si>
  <si>
    <t>Tower</t>
  </si>
  <si>
    <t>Unit No.</t>
  </si>
  <si>
    <t>Unit</t>
  </si>
  <si>
    <t>Area</t>
  </si>
  <si>
    <t>Unit Cost</t>
  </si>
  <si>
    <t xml:space="preserve">Avg </t>
  </si>
  <si>
    <t>Ms. Dimple</t>
  </si>
  <si>
    <t>6th Floor</t>
  </si>
  <si>
    <t>OFFICE-50</t>
  </si>
  <si>
    <t>OFFICE-50-6th Floor</t>
  </si>
  <si>
    <t>Mrs. Renu Bala Kohli</t>
  </si>
  <si>
    <t>OFFICE-44</t>
  </si>
  <si>
    <t>OFFICE-44-6th Floor</t>
  </si>
  <si>
    <t>OFFICE-45</t>
  </si>
  <si>
    <t>OFFICE-45-6th Floor</t>
  </si>
  <si>
    <t>Mr. Vikram Nanda</t>
  </si>
  <si>
    <t>OFFICE-58</t>
  </si>
  <si>
    <t>OFFICE-58-6th Floor</t>
  </si>
  <si>
    <t>Mr. Ramesh Dudani</t>
  </si>
  <si>
    <t>OFFICE-51</t>
  </si>
  <si>
    <t>OFFICE-51-6th Floor</t>
  </si>
  <si>
    <t>Mr. Sanjeev Kumar Seth</t>
  </si>
  <si>
    <t>9th Floor</t>
  </si>
  <si>
    <t>OFFICE-14</t>
  </si>
  <si>
    <t>OFFICE-14-9th Floor</t>
  </si>
  <si>
    <t>Mrs. Kamalpreet Randhawa</t>
  </si>
  <si>
    <t>OFFICE-57</t>
  </si>
  <si>
    <t>OFFICE-57-6th Floor</t>
  </si>
  <si>
    <t>Mrs. Gulwant Kaur</t>
  </si>
  <si>
    <t>OFFICE-54</t>
  </si>
  <si>
    <t>OFFICE-54-6th Floor</t>
  </si>
  <si>
    <t>Mrs. Sudha Batra</t>
  </si>
  <si>
    <t>4th Floor</t>
  </si>
  <si>
    <t>OFFICE-55</t>
  </si>
  <si>
    <t>OFFICE-55-4th Floor</t>
  </si>
  <si>
    <t>Mr. Hemant Kumar</t>
  </si>
  <si>
    <t>OFFICE-15</t>
  </si>
  <si>
    <t>OFFICE-15-4th Floor</t>
  </si>
  <si>
    <t>Mr. Jagdish Kumar Arora</t>
  </si>
  <si>
    <t>OFFICE-35</t>
  </si>
  <si>
    <t>OFFICE-35-6th Floor</t>
  </si>
  <si>
    <t>Mr. Manjit Singh</t>
  </si>
  <si>
    <t>OFFICE-60</t>
  </si>
  <si>
    <t>OFFICE-60-9th Floor</t>
  </si>
  <si>
    <t>Mrs. Parveen Dhingra</t>
  </si>
  <si>
    <t>OFFICE-43</t>
  </si>
  <si>
    <t>OFFICE-43-6th Floor</t>
  </si>
  <si>
    <t>Mr. Amandeep Dhir</t>
  </si>
  <si>
    <t>OFFICE-12</t>
  </si>
  <si>
    <t>OFFICE-12-4th Floor</t>
  </si>
  <si>
    <t>Mrs. Mala Arora</t>
  </si>
  <si>
    <t>OFFICE-15-6th Floor</t>
  </si>
  <si>
    <t>Mrs. Rupinder Kaur Randhawa</t>
  </si>
  <si>
    <t>OFFICE-03</t>
  </si>
  <si>
    <t>OFFICE-03-6th Floor</t>
  </si>
  <si>
    <t>Mr. Rakesh Chadha</t>
  </si>
  <si>
    <t>OFFICE-66</t>
  </si>
  <si>
    <t>OFFICE-66-9th Floor</t>
  </si>
  <si>
    <t>Mrs. Sharanjit Kaur</t>
  </si>
  <si>
    <t>OFFICE-48</t>
  </si>
  <si>
    <t>OFFICE-48-9th Floor</t>
  </si>
  <si>
    <t>Mr. Surinder Kumar</t>
  </si>
  <si>
    <t>OFFICE-37</t>
  </si>
  <si>
    <t>OFFICE-37-6th Floor</t>
  </si>
  <si>
    <t>Mr. Iresh Mehta</t>
  </si>
  <si>
    <t>OFFICE-39</t>
  </si>
  <si>
    <t>OFFICE-39-9th Floor</t>
  </si>
  <si>
    <t>Mr. Ajay Kumar Mehandru</t>
  </si>
  <si>
    <t>OFFICE-05</t>
  </si>
  <si>
    <t>OFFICE-05-9th Floor</t>
  </si>
  <si>
    <t>Mr. R. K. Dass</t>
  </si>
  <si>
    <t>OFFICE-49</t>
  </si>
  <si>
    <t>OFFICE-49-9th Floor</t>
  </si>
  <si>
    <t>Mr. Janam Brar</t>
  </si>
  <si>
    <t>OFFICE-61</t>
  </si>
  <si>
    <t>OFFICE-61-9th Floor</t>
  </si>
  <si>
    <t>OFFICE-67</t>
  </si>
  <si>
    <t>OFFICE-67-4th Floor</t>
  </si>
  <si>
    <t>Mrs. Bindu Bajaj</t>
  </si>
  <si>
    <t>OFFICE-56</t>
  </si>
  <si>
    <t>OFFICE-56-9th Floor</t>
  </si>
  <si>
    <t>Mr. Deepak Juneja</t>
  </si>
  <si>
    <t>OFFICE-19</t>
  </si>
  <si>
    <t>OFFICE-19-6th Floor</t>
  </si>
  <si>
    <t>OFFICE-20</t>
  </si>
  <si>
    <t>OFFICE-20-6th Floor</t>
  </si>
  <si>
    <t>Mrs. Parveen Kumari</t>
  </si>
  <si>
    <t>OFFICE-28</t>
  </si>
  <si>
    <t>OFFICE-28-6th Floor</t>
  </si>
  <si>
    <t>Mrs. Aruna Mahajan</t>
  </si>
  <si>
    <t>OFFICE-40</t>
  </si>
  <si>
    <t>OFFICE-40-6th Floor</t>
  </si>
  <si>
    <t>Mr. Kamal Deep Jaspal</t>
  </si>
  <si>
    <t>OFFICE-21</t>
  </si>
  <si>
    <t>OFFICE-21-6th Floor</t>
  </si>
  <si>
    <t>Colonel K.l Jaspal</t>
  </si>
  <si>
    <t>OFFICE-22</t>
  </si>
  <si>
    <t>OFFICE-22-6th Floor</t>
  </si>
  <si>
    <t>Mr. Madan Lal Joshi</t>
  </si>
  <si>
    <t>OFFICE-51-9th Floor</t>
  </si>
  <si>
    <t>Mr. Tek Chand</t>
  </si>
  <si>
    <t>OFFICE-12 A</t>
  </si>
  <si>
    <t>OFFICE-12 A-6th Floor</t>
  </si>
  <si>
    <t>M/S. Uditech Constructions Pvt. ltd.</t>
  </si>
  <si>
    <t>OFFICE-11</t>
  </si>
  <si>
    <t>OFFICE-11-9th Floor</t>
  </si>
  <si>
    <t>Major Gen. sukhdip Singh Randhawa (huf)</t>
  </si>
  <si>
    <t>OFFICE-12-9th Floor</t>
  </si>
  <si>
    <t>Mr. Gurminder Singh Multani</t>
  </si>
  <si>
    <t>OFFICE-02</t>
  </si>
  <si>
    <t>OFFICE-02-9th Floor</t>
  </si>
  <si>
    <t>Mr. Harpreet Singh</t>
  </si>
  <si>
    <t>OFFICE-18</t>
  </si>
  <si>
    <t>OFFICE-18-9th Floor</t>
  </si>
  <si>
    <t>Mr. Hardial Singh Ghotra</t>
  </si>
  <si>
    <t>OFFICE-15-9th Floor</t>
  </si>
  <si>
    <t>Mr. Nittin Dutt</t>
  </si>
  <si>
    <t>OFFICE-10</t>
  </si>
  <si>
    <t>OFFICE-10-4th Floor</t>
  </si>
  <si>
    <t>Mr. Anil Pal</t>
  </si>
  <si>
    <t>OFFICE-46</t>
  </si>
  <si>
    <t>OFFICE-46-9th Floor</t>
  </si>
  <si>
    <t>Mr. Mahipal Singh Mann</t>
  </si>
  <si>
    <t>OFFICE-22-9th Floor</t>
  </si>
  <si>
    <t>Brig. Devinder Singh</t>
  </si>
  <si>
    <t>10th Floor</t>
  </si>
  <si>
    <t>OFFICE-01</t>
  </si>
  <si>
    <t>OFFICE-01-10th Floor</t>
  </si>
  <si>
    <t>OFFICE-02-6th Floor</t>
  </si>
  <si>
    <t>Mrs. Satindar Cheema</t>
  </si>
  <si>
    <t>OFFICE-03-4th Floor</t>
  </si>
  <si>
    <t>Mrs. Sunita Chaudhry</t>
  </si>
  <si>
    <t>OFFICE-14-10th Floor</t>
  </si>
  <si>
    <t>Major Gen. sukhdip Singh Randhawa</t>
  </si>
  <si>
    <t>OFFICE-43-10th Floor</t>
  </si>
  <si>
    <t>OFFICE-44-10th Floor</t>
  </si>
  <si>
    <t>Mrs. Sheelwant Kaur</t>
  </si>
  <si>
    <t>OFFICE-41</t>
  </si>
  <si>
    <t>OFFICE-41-10th Floor</t>
  </si>
  <si>
    <t>Mr. Jai Prakash Singh</t>
  </si>
  <si>
    <t>OFFICE-10-10th Floor</t>
  </si>
  <si>
    <t>OFFICE-40-10th Floor</t>
  </si>
  <si>
    <t>Mrs. Prerna Bansal</t>
  </si>
  <si>
    <t>OFFICE-52</t>
  </si>
  <si>
    <t>OFFICE-52-9th Floor</t>
  </si>
  <si>
    <t>Mr. Saindeep Singh</t>
  </si>
  <si>
    <t>OFFICE-21-9th Floor</t>
  </si>
  <si>
    <t>Mr. Gurjay Pal Singh</t>
  </si>
  <si>
    <t>OFFICE-27</t>
  </si>
  <si>
    <t>OFFICE-27-9th Floor</t>
  </si>
  <si>
    <t>Mrs. Sunita Kumari</t>
  </si>
  <si>
    <t>OFFICE-28-9th Floor</t>
  </si>
  <si>
    <t>Mr. Prabhtej Singh</t>
  </si>
  <si>
    <t>OFFICE-24</t>
  </si>
  <si>
    <t>OFFICE-24-10th Floor</t>
  </si>
  <si>
    <t>Mrs. Arvinder Kaur</t>
  </si>
  <si>
    <t>OFFICE-49-6th Floor</t>
  </si>
  <si>
    <t>Mr. Guneet Singh Randhawa</t>
  </si>
  <si>
    <t>OFFICE-47</t>
  </si>
  <si>
    <t>OFFICE-47-10th Floor</t>
  </si>
  <si>
    <t>OFFICE-48-10th Floor</t>
  </si>
  <si>
    <t>OFFICE-49-10th Floor</t>
  </si>
  <si>
    <t>OFFICE-50-10th Floor</t>
  </si>
  <si>
    <t>OFFICE-51-10th Floor</t>
  </si>
  <si>
    <t>Mr. Parmod Mehta</t>
  </si>
  <si>
    <t>OFFICE-16</t>
  </si>
  <si>
    <t>OFFICE-16-4th Floor</t>
  </si>
  <si>
    <t>OFFICE-58-10th Floor</t>
  </si>
  <si>
    <t>Mr. Baldeep Singh</t>
  </si>
  <si>
    <t>OFFICE-19-10th Floor</t>
  </si>
  <si>
    <t>Mr. Pradeep Kumar Gupta</t>
  </si>
  <si>
    <t>OFFICE-27-10th Floor</t>
  </si>
  <si>
    <t>Mr. Jaivijay Vedi</t>
  </si>
  <si>
    <t>OFFICE-08</t>
  </si>
  <si>
    <t>OFFICE-08-10th Floor</t>
  </si>
  <si>
    <t>Mr. Sanjeev Mishra</t>
  </si>
  <si>
    <t>OFFICE-34</t>
  </si>
  <si>
    <t>OFFICE-34-6th Floor</t>
  </si>
  <si>
    <t>Mr. Ajit Singh</t>
  </si>
  <si>
    <t>OFFICE-30</t>
  </si>
  <si>
    <t>OFFICE-30-6th Floor</t>
  </si>
  <si>
    <t>OFFICE-02-10th Floor</t>
  </si>
  <si>
    <t>Mr. Inder Mohan Singh</t>
  </si>
  <si>
    <t>OFFICE-07</t>
  </si>
  <si>
    <t>OFFICE-07-9th Floor</t>
  </si>
  <si>
    <t>Dr. Maneesh Bagai</t>
  </si>
  <si>
    <t>OFFICE-28-10th Floor</t>
  </si>
  <si>
    <t>Mrs. Divya Gupta</t>
  </si>
  <si>
    <t>11th Floor</t>
  </si>
  <si>
    <t>OFFICE-06</t>
  </si>
  <si>
    <t>OFFICE-06-11th Floor</t>
  </si>
  <si>
    <t>Mr. Mukesh</t>
  </si>
  <si>
    <t>OFFICE-11-4th Floor</t>
  </si>
  <si>
    <t>Mr. Arun Thakur</t>
  </si>
  <si>
    <t>OFFICE-18-10th Floor</t>
  </si>
  <si>
    <t>Mr. Manmohan Bhalla</t>
  </si>
  <si>
    <t>OFFICE-20-10th Floor</t>
  </si>
  <si>
    <t>Mr. Akshat Gaur</t>
  </si>
  <si>
    <t>OFFICE-62</t>
  </si>
  <si>
    <t>OFFICE-62-4th Floor</t>
  </si>
  <si>
    <t>Mrs. Sunita Vatts</t>
  </si>
  <si>
    <t>OFFICE-01-11th Floor</t>
  </si>
  <si>
    <t>Mrs. Sunita Devi</t>
  </si>
  <si>
    <t>12th Floor</t>
  </si>
  <si>
    <t>OFFICE-09</t>
  </si>
  <si>
    <t>OFFICE-09-12th Floor</t>
  </si>
  <si>
    <t>Mrs. Sukhjinder Kaur</t>
  </si>
  <si>
    <t>OFFICE-08-12th Floor</t>
  </si>
  <si>
    <t>Mr. Ram Kumar Bhardwaj</t>
  </si>
  <si>
    <t>OFFICE-07-12th Floor</t>
  </si>
  <si>
    <t>Dr. Kuldip Kumar</t>
  </si>
  <si>
    <t>2nd Floor</t>
  </si>
  <si>
    <t>UNIT-10</t>
  </si>
  <si>
    <t>UNIT-10-2nd Floor</t>
  </si>
  <si>
    <t>Mrs. Neetika</t>
  </si>
  <si>
    <t>OFFICE-25</t>
  </si>
  <si>
    <t>OFFICE-25-11th Floor</t>
  </si>
  <si>
    <t>Mrs. Baljeet Brar</t>
  </si>
  <si>
    <t>OFFICE-68</t>
  </si>
  <si>
    <t>OFFICE-68-10th Floor</t>
  </si>
  <si>
    <t>Mr. Manu Bhardwaj</t>
  </si>
  <si>
    <t>3rd Floor</t>
  </si>
  <si>
    <t>OFFICE-19-3rd Floor</t>
  </si>
  <si>
    <t>Mrs. Nitika Arya</t>
  </si>
  <si>
    <t>Ground Floor</t>
  </si>
  <si>
    <t>UNIT-23</t>
  </si>
  <si>
    <t>UNIT-23-Ground Floor</t>
  </si>
  <si>
    <t>Colonel B. R. Kundlas (retd)</t>
  </si>
  <si>
    <t>OFFICE-23</t>
  </si>
  <si>
    <t>OFFICE-23-3rd Floor</t>
  </si>
  <si>
    <t>Mrs. Raj Kumari Kundlas</t>
  </si>
  <si>
    <t>OFFICE-24-3rd Floor</t>
  </si>
  <si>
    <t>Mr. Himanshu Vasudeva</t>
  </si>
  <si>
    <t>OFFICE-22-10th Floor</t>
  </si>
  <si>
    <t>Mr. Kulbhushan Kumar</t>
  </si>
  <si>
    <t>OFFICE-20-3rd Floor</t>
  </si>
  <si>
    <t>Mr. Sandeep Anand</t>
  </si>
  <si>
    <t>OFFICE-66-4th Floor</t>
  </si>
  <si>
    <t>Mrs. Neelam</t>
  </si>
  <si>
    <t>15th Floor</t>
  </si>
  <si>
    <t>OFFICE-01-15th Floor</t>
  </si>
  <si>
    <t>Mrs. Kamlesh Bhatia</t>
  </si>
  <si>
    <t>12-A Floor</t>
  </si>
  <si>
    <t>OFFICE-08-12-A Floor</t>
  </si>
  <si>
    <t>Mrs. Monika Chugh</t>
  </si>
  <si>
    <t>OFFICE-18-11th Floor</t>
  </si>
  <si>
    <t>Mr. Harbans Lal Wadhwa</t>
  </si>
  <si>
    <t>OFFICE-30-11th Floor</t>
  </si>
  <si>
    <t>Ms. Luxmi Gahlot</t>
  </si>
  <si>
    <t>OFFICE-30-3rd Floor</t>
  </si>
  <si>
    <t>M/S. Vssv Consultants Pvt.ltd</t>
  </si>
  <si>
    <t>OFFICE-16-3rd Floor</t>
  </si>
  <si>
    <t>Mr. Gopal Krishan Nandan</t>
  </si>
  <si>
    <t>OFFICE-45-10th Floor</t>
  </si>
  <si>
    <t>Mrs. Harjit Kaur Virk</t>
  </si>
  <si>
    <t>OFFICE-20-9th Floor</t>
  </si>
  <si>
    <t>Mr. Ajaypal Singh Kochar</t>
  </si>
  <si>
    <t>OFFICE-26</t>
  </si>
  <si>
    <t>OFFICE-26-11th Floor</t>
  </si>
  <si>
    <t>Mr. Rohit Kumar Pathak</t>
  </si>
  <si>
    <t>14th Floor</t>
  </si>
  <si>
    <t>OFFICE-18-14th Floor</t>
  </si>
  <si>
    <t>OFFICE-67-10th Floor</t>
  </si>
  <si>
    <t>OFFICE-07-12-A Floor</t>
  </si>
  <si>
    <t>Mrs. Geeta Singh</t>
  </si>
  <si>
    <t>OFFICE-14-12-A Floor</t>
  </si>
  <si>
    <t>Dr. Jasvir Kaur</t>
  </si>
  <si>
    <t>OFFICE-15-3rd Floor</t>
  </si>
  <si>
    <t>Mr. Satnam Singh Sohal</t>
  </si>
  <si>
    <t>OFFICE-31</t>
  </si>
  <si>
    <t>OFFICE-31-12th Floor</t>
  </si>
  <si>
    <t>Mr. Ramandeep Singh Sohal</t>
  </si>
  <si>
    <t>OFFICE-32</t>
  </si>
  <si>
    <t>OFFICE-32-12th Floor</t>
  </si>
  <si>
    <t>OFFICE-14-4th Floor</t>
  </si>
  <si>
    <t>M/S. Professional peers info services pvt. ltd</t>
  </si>
  <si>
    <t>UNIT-11</t>
  </si>
  <si>
    <t>UNIT-11-2nd Floor</t>
  </si>
  <si>
    <t>Mr. Bal Krishan Dogra</t>
  </si>
  <si>
    <t>OFFICE-03-14th Floor</t>
  </si>
  <si>
    <t>Mr. Anil Bhatia</t>
  </si>
  <si>
    <t>OFFICE-24-11th Floor</t>
  </si>
  <si>
    <t>Mr. Santokh Singh Parmar</t>
  </si>
  <si>
    <t>OFFICE-10-15th Floor</t>
  </si>
  <si>
    <t>Mr. Gian Chand Singla</t>
  </si>
  <si>
    <t>8th Floor</t>
  </si>
  <si>
    <t>OFFICE-14-8th Floor</t>
  </si>
  <si>
    <t>Mr. Jagar Singh</t>
  </si>
  <si>
    <t>OFFICE-54-10th Floor</t>
  </si>
  <si>
    <t>Mr. Jatinder Chhabra</t>
  </si>
  <si>
    <t>OFFICE-18-4th Floor</t>
  </si>
  <si>
    <t>Mrs. Punam Rani</t>
  </si>
  <si>
    <t>OFFICE-47-6th Floor</t>
  </si>
  <si>
    <t>Mrs. Navjot Kiran Dhadwal</t>
  </si>
  <si>
    <t>OFFICE-03-3rd Floor</t>
  </si>
  <si>
    <t>Mr. Gagandeep Sawhney</t>
  </si>
  <si>
    <t>OFFICE-07-14th Floor</t>
  </si>
  <si>
    <t>Mrs. Alka Sondhi</t>
  </si>
  <si>
    <t>OFFICE-08-14th Floor</t>
  </si>
  <si>
    <t>Mrs. Santosh Devi</t>
  </si>
  <si>
    <t>OFFICE-05-8th Floor</t>
  </si>
  <si>
    <t>Mrs. Navita Singla</t>
  </si>
  <si>
    <t>OFFICE-01-14th Floor</t>
  </si>
  <si>
    <t>Mr. Gurbax Singh Grewal</t>
  </si>
  <si>
    <t>OFFICE-34-14th Floor</t>
  </si>
  <si>
    <t>Mr. Ramesh Chand</t>
  </si>
  <si>
    <t>OFFICE-14-15th Floor</t>
  </si>
  <si>
    <t>Mr. Anil Paul</t>
  </si>
  <si>
    <t>OFFICE-04</t>
  </si>
  <si>
    <t>OFFICE-04-14th Floor</t>
  </si>
  <si>
    <t>Mr. Lal Chand Dogra</t>
  </si>
  <si>
    <t>OFFICE-28-8th Floor</t>
  </si>
  <si>
    <t>Mr. Bhavnesh Kaushik</t>
  </si>
  <si>
    <t>OFFICE-20-15th Floor</t>
  </si>
  <si>
    <t>UNIT-23-2nd Floor</t>
  </si>
  <si>
    <t>Mr. Sahil Sethi</t>
  </si>
  <si>
    <t>OFFICE-12A</t>
  </si>
  <si>
    <t>OFFICE-12A-8th Floor</t>
  </si>
  <si>
    <t>Mrs. Satinder Kler</t>
  </si>
  <si>
    <t>OFFICE-26-8th Floor</t>
  </si>
  <si>
    <t>Mr. Kishor Bothra</t>
  </si>
  <si>
    <t>OFFICE-21-15th Floor</t>
  </si>
  <si>
    <t>Mr. S.p Singal</t>
  </si>
  <si>
    <t>OFFICE-40-14th Floor</t>
  </si>
  <si>
    <t>Mr. Balmukund</t>
  </si>
  <si>
    <t>OFFICE-21-14th Floor</t>
  </si>
  <si>
    <t>Mr. Viprender pal Singh Walia</t>
  </si>
  <si>
    <t>OFFICE-44-15th Floor</t>
  </si>
  <si>
    <t>Mr. Sushil Kumar Sharma</t>
  </si>
  <si>
    <t>OFFICE-22-14th Floor</t>
  </si>
  <si>
    <t>Advocate Aastha Panda</t>
  </si>
  <si>
    <t>OFFICE-22-15th Floor</t>
  </si>
  <si>
    <t>Mr. Sandeep Sharma</t>
  </si>
  <si>
    <t>OFFICE-43-14th Floor</t>
  </si>
  <si>
    <t>Mr. Divyanshu Mittal</t>
  </si>
  <si>
    <t>OFFICE-23-8th Floor</t>
  </si>
  <si>
    <t>Mr. Ashok Mair</t>
  </si>
  <si>
    <t>OFFICE-32-8th Floor</t>
  </si>
  <si>
    <t>OFFICE-33</t>
  </si>
  <si>
    <t>OFFICE-33-8th Floor</t>
  </si>
  <si>
    <t>OFFICE-35-14th Floor</t>
  </si>
  <si>
    <t>OFFICE-36</t>
  </si>
  <si>
    <t>OFFICE-36-14th Floor</t>
  </si>
  <si>
    <t>Mr. Karan Rana</t>
  </si>
  <si>
    <t>OFFICE-20-14th Floor</t>
  </si>
  <si>
    <t>Mrs. Kamlesh Arora</t>
  </si>
  <si>
    <t>OFFICE-29</t>
  </si>
  <si>
    <t>OFFICE-29-6th Floor</t>
  </si>
  <si>
    <t>Mrs. Baljinder Kaur</t>
  </si>
  <si>
    <t>OFFICE-23-14th Floor</t>
  </si>
  <si>
    <t>Air Commoder Bir Inder Singh</t>
  </si>
  <si>
    <t>5th Floor</t>
  </si>
  <si>
    <t>OFFICE-63</t>
  </si>
  <si>
    <t>OFFICE-63-5th Floor</t>
  </si>
  <si>
    <t>Mrs. Ranjana Sharma</t>
  </si>
  <si>
    <t>OFFICE-60-5th Floor</t>
  </si>
  <si>
    <t>Mr. Surinder Singh Slathia</t>
  </si>
  <si>
    <t>OFFICE-10-5th Floor</t>
  </si>
  <si>
    <t>Mr. Arpit Agrawal</t>
  </si>
  <si>
    <t>OFFICE-54-5th Floor</t>
  </si>
  <si>
    <t>Mrs. Pushpa Wati</t>
  </si>
  <si>
    <t>OFFICE-02-15th Floor</t>
  </si>
  <si>
    <t>Mrs. Shafali Rastogi</t>
  </si>
  <si>
    <t>OFFICE-45-5th Floor</t>
  </si>
  <si>
    <t>Mrs. Shakuntla Chaudhary</t>
  </si>
  <si>
    <t>OFFICE-59</t>
  </si>
  <si>
    <t>OFFICE-59-5th Floor</t>
  </si>
  <si>
    <t>Major Devendra Pal Puri</t>
  </si>
  <si>
    <t>OFFICE-51-14th Floor</t>
  </si>
  <si>
    <t>Mrs. Shameeta Thakur</t>
  </si>
  <si>
    <t>OFFICE-46-14th Floor</t>
  </si>
  <si>
    <t>LT.COL. Ajay Vashist (retd)</t>
  </si>
  <si>
    <t>OFFICE-02-5th Floor</t>
  </si>
  <si>
    <t>Mr. Manjit Singh Malhotra</t>
  </si>
  <si>
    <t>OFFICE-44-14th Floor</t>
  </si>
  <si>
    <t>Mrs. Seema Yadav</t>
  </si>
  <si>
    <t>OFFICE-52-5th Floor</t>
  </si>
  <si>
    <t>Mr. Manohar Lal Bhatia</t>
  </si>
  <si>
    <t>OFFICE-37-14th Floor</t>
  </si>
  <si>
    <t>Mr. Vikas Chander Garg</t>
  </si>
  <si>
    <t>OFFICE-29-14th Floor</t>
  </si>
  <si>
    <t>Mrs. Geetanjali Sharma</t>
  </si>
  <si>
    <t>OFFICE-12-5th Floor</t>
  </si>
  <si>
    <t>Mrs. Baljeet Kaur</t>
  </si>
  <si>
    <t>OFFICE-44-5th Floor</t>
  </si>
  <si>
    <t>Mrs. Pinky Aggarwal</t>
  </si>
  <si>
    <t>OFFICE-02-12th Floor</t>
  </si>
  <si>
    <t>Mr. Sohan Lal</t>
  </si>
  <si>
    <t>OFFICE-12A-12-A Floor</t>
  </si>
  <si>
    <t>LT.COL. Harinder Singh</t>
  </si>
  <si>
    <t>OFFICE-43-5th Floor</t>
  </si>
  <si>
    <t>Mr. Jaipal Rampal</t>
  </si>
  <si>
    <t>OFFICE-55-5th Floor</t>
  </si>
  <si>
    <t>Mr. Angad Kumar Bhatia</t>
  </si>
  <si>
    <t>OFFICE-30-14th Floor</t>
  </si>
  <si>
    <t>Mr. Ravinder Kumar</t>
  </si>
  <si>
    <t>OFFICE-11-5th Floor</t>
  </si>
  <si>
    <t>Ms. Rama Arora</t>
  </si>
  <si>
    <t>OFFICE-39-14th Floor</t>
  </si>
  <si>
    <t>Mrs. Gurkesh Kaur</t>
  </si>
  <si>
    <t>OFFICE-48-15th Floor</t>
  </si>
  <si>
    <t>Mr. Tejinder Singh</t>
  </si>
  <si>
    <t>OFFICE-30-5th Floor</t>
  </si>
  <si>
    <t>Mr. Pooja Mehra</t>
  </si>
  <si>
    <t>OFFICE-33-14th Floor</t>
  </si>
  <si>
    <t>Mrs. Anuradha Dua</t>
  </si>
  <si>
    <t>OFFICE-31-6th Floor</t>
  </si>
  <si>
    <t>Mrs. Anamika Sood</t>
  </si>
  <si>
    <t>OFFICE-52-15th Floor</t>
  </si>
  <si>
    <t>Mr. Anil Gupta</t>
  </si>
  <si>
    <t>OFFICE-50-15th Floor</t>
  </si>
  <si>
    <t>Mr. Ankush Gupta</t>
  </si>
  <si>
    <t>OFFICE-51-15th Floor</t>
  </si>
  <si>
    <t>Mr. Sanjeev Kumar Kohli</t>
  </si>
  <si>
    <t>7th Floor</t>
  </si>
  <si>
    <t>Office-25</t>
  </si>
  <si>
    <t>Office-25-7th Floor</t>
  </si>
  <si>
    <t>Mrs. Krishna Balbir Arora</t>
  </si>
  <si>
    <t>OFFICE-50-5th Floor</t>
  </si>
  <si>
    <t>Mr. Harjinder Singh Billing</t>
  </si>
  <si>
    <t>OFFICE-15-5th Floor</t>
  </si>
  <si>
    <t>Mr. Rajander Kumar Pandita</t>
  </si>
  <si>
    <t>OFFICE-65</t>
  </si>
  <si>
    <t>OFFICE-65-8th Floor</t>
  </si>
  <si>
    <t>Mrs. Neelam Kapur</t>
  </si>
  <si>
    <t>Office-27</t>
  </si>
  <si>
    <t>Office-27-7th Floor</t>
  </si>
  <si>
    <t>Ms. Likyana Vermani</t>
  </si>
  <si>
    <t>OFFICE-34-12th Floor</t>
  </si>
  <si>
    <t>Ms. Kavya Vermani</t>
  </si>
  <si>
    <t>OFFICE-35-12th Floor</t>
  </si>
  <si>
    <t>Mrs. Poonam Bajaj</t>
  </si>
  <si>
    <t>OFFICE-49-5th Floor</t>
  </si>
  <si>
    <t>Mrs. Neelam Jaitly</t>
  </si>
  <si>
    <t>Office-21</t>
  </si>
  <si>
    <t>Office-21-7th Floor</t>
  </si>
  <si>
    <t>Major Gurmeet Kaur</t>
  </si>
  <si>
    <t>OFFICE-52-8th Floor</t>
  </si>
  <si>
    <t>Mr. Jeevan Kumar</t>
  </si>
  <si>
    <t>Office-20</t>
  </si>
  <si>
    <t>Office-20-7th Floor</t>
  </si>
  <si>
    <t>Mr. Navneet Kumar</t>
  </si>
  <si>
    <t>Office-24</t>
  </si>
  <si>
    <t>Office-24-7th Floor</t>
  </si>
  <si>
    <t>Mrs. Babita Goyal</t>
  </si>
  <si>
    <t>Office-23</t>
  </si>
  <si>
    <t>Office-23-7th Floor</t>
  </si>
  <si>
    <t>Mr. Anshul Verma</t>
  </si>
  <si>
    <t>OFFICE-27-6th Floor</t>
  </si>
  <si>
    <t>Mr. Ashwani Kumar Thakur</t>
  </si>
  <si>
    <t>OFFICE-50-8th Floor</t>
  </si>
  <si>
    <t>Mrs. Jyoti Sharma</t>
  </si>
  <si>
    <t>OFFICE-42</t>
  </si>
  <si>
    <t>OFFICE-42-14th Floor</t>
  </si>
  <si>
    <t>Mrs. Rashi Sethi Gupta</t>
  </si>
  <si>
    <t>OFFICE-12-14th Floor</t>
  </si>
  <si>
    <t>Ms. Supriya Datta</t>
  </si>
  <si>
    <t>OFFICE-28-14th Floor</t>
  </si>
  <si>
    <t>Mr. Tarsem Pal Singh</t>
  </si>
  <si>
    <t>OFFICE-41-3rd Floor</t>
  </si>
  <si>
    <t>Mr. Santosh Kumar Mishra</t>
  </si>
  <si>
    <t>OFFICE-31-5th Floor</t>
  </si>
  <si>
    <t>Mrs. Aruti Nayar</t>
  </si>
  <si>
    <t>OFFICE-45-15th Floor</t>
  </si>
  <si>
    <t>Mr. Sahil Bhalla</t>
  </si>
  <si>
    <t>OFFICE-24-5th Floor</t>
  </si>
  <si>
    <t>Mr. Utpal Datta</t>
  </si>
  <si>
    <t>OFFICE-26-14th Floor</t>
  </si>
  <si>
    <t>Dr. Soma Datta</t>
  </si>
  <si>
    <t>OFFICE-27-14th Floor</t>
  </si>
  <si>
    <t>Mr. Pawan Gulati</t>
  </si>
  <si>
    <t>UNIT-15</t>
  </si>
  <si>
    <t>UNIT-15-Ground Floor</t>
  </si>
  <si>
    <t>LT.COL. Sultan Singh</t>
  </si>
  <si>
    <t>OFFICE-52-3rd Floor</t>
  </si>
  <si>
    <t>Mr. Amit Arora</t>
  </si>
  <si>
    <t>Office-19</t>
  </si>
  <si>
    <t>Office-19-7th Floor</t>
  </si>
  <si>
    <t>Brig. Rajiv Raina</t>
  </si>
  <si>
    <t>OFFICE-47-15th Floor</t>
  </si>
  <si>
    <t>Mr. Ankush Sharma</t>
  </si>
  <si>
    <t>OFFICE-43-15th Floor</t>
  </si>
  <si>
    <t>Mr. Vikrant Singh Chandail</t>
  </si>
  <si>
    <t>UNIT-06</t>
  </si>
  <si>
    <t>UNIT-06-2nd Floor</t>
  </si>
  <si>
    <t>Mr. Vinay Manchanda</t>
  </si>
  <si>
    <t>1st Floor</t>
  </si>
  <si>
    <t>UNIT-16</t>
  </si>
  <si>
    <t>UNIT-16-1st Floor</t>
  </si>
  <si>
    <t>Mrs. Anju Anand</t>
  </si>
  <si>
    <t>OFFICE-42-10th Floor</t>
  </si>
  <si>
    <t>Mr. Naveen Mehta</t>
  </si>
  <si>
    <t>UNIT-16-2nd Floor</t>
  </si>
  <si>
    <t>Mr. Arun Kumar Kukkar</t>
  </si>
  <si>
    <t>OFFICE-32-12-A Floor</t>
  </si>
  <si>
    <t>Mr. Anupam Sharma</t>
  </si>
  <si>
    <t>Office R-01</t>
  </si>
  <si>
    <t>Office R-01-15th Floor</t>
  </si>
  <si>
    <t>Mrs. Rita Gupta</t>
  </si>
  <si>
    <t>OFFICE-59-6th Floor</t>
  </si>
  <si>
    <t>Mrs. Rita Kak</t>
  </si>
  <si>
    <t>OFFICE-03-11th Floor</t>
  </si>
  <si>
    <t>Mrs. Parul Bector</t>
  </si>
  <si>
    <t>Office R-12</t>
  </si>
  <si>
    <t>Office R-12-14th Floor</t>
  </si>
  <si>
    <t>Office R-04</t>
  </si>
  <si>
    <t>Office R-04-15th Floor</t>
  </si>
  <si>
    <t>Mrs. Parvinder Kaur</t>
  </si>
  <si>
    <t>OFFICE-66-8th Floor</t>
  </si>
  <si>
    <t>Mr. Narindder Singh Siddhu</t>
  </si>
  <si>
    <t>UNIT-30</t>
  </si>
  <si>
    <t>UNIT-30-1st Floor</t>
  </si>
  <si>
    <t>Mr. Manu Mehta</t>
  </si>
  <si>
    <t>OFFICE-08-11th Floor</t>
  </si>
  <si>
    <t>Mr. Parveen Kumaria</t>
  </si>
  <si>
    <t>OFFICE-62-5th Floor</t>
  </si>
  <si>
    <t>Mrs. Bhavna Sharma</t>
  </si>
  <si>
    <t>Office R-06</t>
  </si>
  <si>
    <t>Office R-06-12th Floor</t>
  </si>
  <si>
    <t>Mr. Sumit Aery</t>
  </si>
  <si>
    <t>Office R-07</t>
  </si>
  <si>
    <t>Office R-07-12-A Floor</t>
  </si>
  <si>
    <t>Ms. Mona Sethi</t>
  </si>
  <si>
    <t>Office R-15</t>
  </si>
  <si>
    <t>Office R-15-14th Floor</t>
  </si>
  <si>
    <t>Mrs. Mona Sethi</t>
  </si>
  <si>
    <t>OFFICE-33-5th Floor</t>
  </si>
  <si>
    <t>Mr. Arpit Gupta</t>
  </si>
  <si>
    <t>Office R-11</t>
  </si>
  <si>
    <t>Office R-11-15th Floor</t>
  </si>
  <si>
    <t>Mr. Kunal Mukherjee</t>
  </si>
  <si>
    <t>OFFICE-36-12-A Floor</t>
  </si>
  <si>
    <t>Mr. Anil Kumar Handa</t>
  </si>
  <si>
    <t>UNIT-14</t>
  </si>
  <si>
    <t>UNIT-14-2nd Floor</t>
  </si>
  <si>
    <t>Office R-23</t>
  </si>
  <si>
    <t>Office R-23-15th Floor</t>
  </si>
  <si>
    <t>Mr. Karan Nanda</t>
  </si>
  <si>
    <t>Office R-24</t>
  </si>
  <si>
    <t>Office R-24-15th Floor</t>
  </si>
  <si>
    <t>Mrs. Shashi Kala</t>
  </si>
  <si>
    <t>Office R-05</t>
  </si>
  <si>
    <t>Office R-05-15th Floor</t>
  </si>
  <si>
    <t>Mr. Rajnish Brar</t>
  </si>
  <si>
    <t>OFFICE-45-14th Floor</t>
  </si>
  <si>
    <t>LT.COL. Vijayant Thakur</t>
  </si>
  <si>
    <t>Office R-11-12th Floor</t>
  </si>
  <si>
    <t>Mrs. Navneet Khangura</t>
  </si>
  <si>
    <t>Office R-08</t>
  </si>
  <si>
    <t>Office R-08-15th Floor</t>
  </si>
  <si>
    <t>Mr. Shrikant Gupta</t>
  </si>
  <si>
    <t>OFFICE-23-6th Floor</t>
  </si>
  <si>
    <t>Mr. Manpreet Singh Sidhu</t>
  </si>
  <si>
    <t>UNIT-12A</t>
  </si>
  <si>
    <t>UNIT-12A-2nd Floor</t>
  </si>
  <si>
    <t>Mrs. Harinder Kaur Gill</t>
  </si>
  <si>
    <t>UNIT-08</t>
  </si>
  <si>
    <t>UNIT-08-Ground Floor</t>
  </si>
  <si>
    <t>Colonel B. S. Vasir</t>
  </si>
  <si>
    <t>OFFICE-33-12-A Floor</t>
  </si>
  <si>
    <t>Mr. Praveen Kumar Verma</t>
  </si>
  <si>
    <t>Office R-09</t>
  </si>
  <si>
    <t>Office R-09-12-A Floor</t>
  </si>
  <si>
    <t>Mr. Sanjeev Kumar Verma</t>
  </si>
  <si>
    <t>Office R-10</t>
  </si>
  <si>
    <t>Office R-10-12-A Floor</t>
  </si>
  <si>
    <t>Brig. Jagjit Singh</t>
  </si>
  <si>
    <t>Office R-06-15th Floor</t>
  </si>
  <si>
    <t>Mr. Sanjay Mehta</t>
  </si>
  <si>
    <t>OFFICE-12A-15th Floor</t>
  </si>
  <si>
    <t>Mr. Amandeep Chawla</t>
  </si>
  <si>
    <t>OFFICE-41-5th Floor</t>
  </si>
  <si>
    <t>Mr. Ravinder Nath Sharma</t>
  </si>
  <si>
    <t>Office R-01-12th Floor</t>
  </si>
  <si>
    <t>Mrs. Harvinder Kaur</t>
  </si>
  <si>
    <t>Office R-25</t>
  </si>
  <si>
    <t>Office R-25-12-A Floor</t>
  </si>
  <si>
    <t>UNIT-02</t>
  </si>
  <si>
    <t>UNIT-02-2nd Floor</t>
  </si>
  <si>
    <t>Mr. Madan Lal joshi</t>
  </si>
  <si>
    <t>Office R-23-12th Floor</t>
  </si>
  <si>
    <t>Mrs. Sudeshna Pathak</t>
  </si>
  <si>
    <t>UNIT-7</t>
  </si>
  <si>
    <t>UNIT-7-Ground Floor</t>
  </si>
  <si>
    <t>Mrs. Balvir Kaur Grewal</t>
  </si>
  <si>
    <t>Office R-12-12-A Floor</t>
  </si>
  <si>
    <t>Mr. Amit Singhi</t>
  </si>
  <si>
    <t>Office R-21</t>
  </si>
  <si>
    <t>Office R-21-15th Floor</t>
  </si>
  <si>
    <t>Mr. Bhagwant Singh</t>
  </si>
  <si>
    <t>OFFICE-27-12-A Floor</t>
  </si>
  <si>
    <t>Mr. Raj Kumar Verma</t>
  </si>
  <si>
    <t>UNIT-16-Ground Floor</t>
  </si>
  <si>
    <t>Ms. Ramnique Grewal</t>
  </si>
  <si>
    <t>Office R-13</t>
  </si>
  <si>
    <t>Office R-13-12-A Floor</t>
  </si>
  <si>
    <t>Mr. Vivek Kumar Gumbhir</t>
  </si>
  <si>
    <t>Office R-03</t>
  </si>
  <si>
    <t>Office R-03-12th Floor</t>
  </si>
  <si>
    <t>Mr. Kshitiz Gupta</t>
  </si>
  <si>
    <t>Office R-01-14th Floor</t>
  </si>
  <si>
    <t>Office R-10-14th Floor</t>
  </si>
  <si>
    <t>Mr. Pardeep Kapur &amp; sons (huf)</t>
  </si>
  <si>
    <t>Office R-03-14th Floor</t>
  </si>
  <si>
    <t>Ms. Vinny</t>
  </si>
  <si>
    <t>OFFICE-40-15th Floor</t>
  </si>
  <si>
    <t>Office-18</t>
  </si>
  <si>
    <t>Office-18-7th Floor</t>
  </si>
  <si>
    <t>Mr. Gurbachan Singh</t>
  </si>
  <si>
    <t>UNIT-15-1st Floor</t>
  </si>
  <si>
    <t>Dr. Anubha Singh</t>
  </si>
  <si>
    <t>Office R-04-14th Floor</t>
  </si>
  <si>
    <t>Mrs. Maninder Kaur</t>
  </si>
  <si>
    <t>Office-26</t>
  </si>
  <si>
    <t>Office-26-7th Floor</t>
  </si>
  <si>
    <t>Mr. Vijay Pal Rana</t>
  </si>
  <si>
    <t>OFFICE-60-3rd Floor</t>
  </si>
  <si>
    <t>Mr. Kiran Mandhir Singh</t>
  </si>
  <si>
    <t>Office R-12-15th Floor</t>
  </si>
  <si>
    <t>Mrs. Mamta Sharma</t>
  </si>
  <si>
    <t>OFFICE-37-5th Floor</t>
  </si>
  <si>
    <t>Mr. Rajesh Sood</t>
  </si>
  <si>
    <t>UNIT-01</t>
  </si>
  <si>
    <t>UNIT-01-1st Floor</t>
  </si>
  <si>
    <t>Mrs. Urmila Rani</t>
  </si>
  <si>
    <t>OFFICE-66-5th Floor</t>
  </si>
  <si>
    <t>Mrs. Smita Kishore</t>
  </si>
  <si>
    <t>Office R-09-15th Floor</t>
  </si>
  <si>
    <t>Mrs. Pushpa Sharma</t>
  </si>
  <si>
    <t>Office R-07-12th Floor</t>
  </si>
  <si>
    <t>Mr. Debanjan Chatterjee</t>
  </si>
  <si>
    <t>Office-11</t>
  </si>
  <si>
    <t>Office-11-7th Floor</t>
  </si>
  <si>
    <t>Mr. Daya Ram Sai</t>
  </si>
  <si>
    <t>OFFICE-16-5th Floor</t>
  </si>
  <si>
    <t>Mrs. Neelu Khanna</t>
  </si>
  <si>
    <t>OFFICE-67-5th Floor</t>
  </si>
  <si>
    <t>Mr. Yogesh Kumar</t>
  </si>
  <si>
    <t>OFFICE-29-3rd Floor</t>
  </si>
  <si>
    <t>OFFICE-32-5th Floor</t>
  </si>
  <si>
    <t>Mrs. Rama Gupta</t>
  </si>
  <si>
    <t>Office R-25-15th Floor</t>
  </si>
  <si>
    <t>Mrs. Subhashini Gupta</t>
  </si>
  <si>
    <t>Office R-14</t>
  </si>
  <si>
    <t>Office R-14-14th Floor</t>
  </si>
  <si>
    <t>Mrs. Anu Bala</t>
  </si>
  <si>
    <t>OFFICE-05-12-A Floor</t>
  </si>
  <si>
    <t>Colonel Amit Aul</t>
  </si>
  <si>
    <t>Office R-11-14th Floor</t>
  </si>
  <si>
    <t>Mr. Bhanu Parkash Sharma</t>
  </si>
  <si>
    <t>OFFICE-45-8th Floor</t>
  </si>
  <si>
    <t>Mrs. Suman Pathak</t>
  </si>
  <si>
    <t>OFFICE-34-12-A Floor</t>
  </si>
  <si>
    <t>Ms. Tania Singh</t>
  </si>
  <si>
    <t>Office R-17</t>
  </si>
  <si>
    <t>Office R-17-15th Floor</t>
  </si>
  <si>
    <t>Mrs. Neelam Sharma</t>
  </si>
  <si>
    <t>OFFICE-35-8th Floor</t>
  </si>
  <si>
    <t>Mrs. Jeevan Latta</t>
  </si>
  <si>
    <t>OFFICE-36-8th Floor</t>
  </si>
  <si>
    <t>Mr. Akshay Raj Sharma</t>
  </si>
  <si>
    <t>OFFICE-36A</t>
  </si>
  <si>
    <t>OFFICE-36A-8th Floor</t>
  </si>
  <si>
    <t>OFFICE-24-6th Floor</t>
  </si>
  <si>
    <t>Mr. Manish Wadhwa</t>
  </si>
  <si>
    <t>OFFICE-44A</t>
  </si>
  <si>
    <t>OFFICE-44A-8th Floor</t>
  </si>
  <si>
    <t>Mr. Amin Chand Thakur</t>
  </si>
  <si>
    <t>OFFICE-12A-4th Floor</t>
  </si>
  <si>
    <t>Mrs. Rekha Asthana</t>
  </si>
  <si>
    <t>OFFICE-24-14th Floor</t>
  </si>
  <si>
    <t>Mr. Gurdeep Singh Kochhar</t>
  </si>
  <si>
    <t>Office R-22</t>
  </si>
  <si>
    <t>Office R-22-15th Floor</t>
  </si>
  <si>
    <t>Mr. Sourabh Pandit</t>
  </si>
  <si>
    <t>OFFICE-12 A-12th Floor</t>
  </si>
  <si>
    <t>Mr. Pawan Kumar Sharma (huf)</t>
  </si>
  <si>
    <t>OFFICE-42A</t>
  </si>
  <si>
    <t>OFFICE-42A-8th Floor</t>
  </si>
  <si>
    <t>OFFICE-44-8th Floor</t>
  </si>
  <si>
    <t>OFFICE-43-8th Floor</t>
  </si>
  <si>
    <t>Mrs. Priya Raheja</t>
  </si>
  <si>
    <t>Office R-26</t>
  </si>
  <si>
    <t>Office R-26-14th Floor</t>
  </si>
  <si>
    <t>Office R-27</t>
  </si>
  <si>
    <t>Office R-27-14th Floor</t>
  </si>
  <si>
    <t>Mrs. Vandana Nagar</t>
  </si>
  <si>
    <t>OFFICE-38A</t>
  </si>
  <si>
    <t>OFFICE-38A-8th Floor</t>
  </si>
  <si>
    <t>Mr. Krishan Avtar Sharma</t>
  </si>
  <si>
    <t>Office R-13-12th Floor</t>
  </si>
  <si>
    <t>Mrs. Raksha Kaundal</t>
  </si>
  <si>
    <t>Office-47</t>
  </si>
  <si>
    <t>Office-47-7th Floor</t>
  </si>
  <si>
    <t>Captain Kulwant Singh Grewal</t>
  </si>
  <si>
    <t>Office R-14-15th Floor</t>
  </si>
  <si>
    <t>Mr. Baldev Singh Kaundal</t>
  </si>
  <si>
    <t>Office-48</t>
  </si>
  <si>
    <t>Office-48-7th Floor</t>
  </si>
  <si>
    <t>Ms. Jasveen Bhullar</t>
  </si>
  <si>
    <t>OFFICE-36-3rd Floor</t>
  </si>
  <si>
    <t>Mrs. Sapana Suresh Patel</t>
  </si>
  <si>
    <t>Office R-24-14th Floor</t>
  </si>
  <si>
    <t>Office R-25-14th Floor</t>
  </si>
  <si>
    <t>Mr. Masoom Sushant Gumbhir</t>
  </si>
  <si>
    <t>Office-50A</t>
  </si>
  <si>
    <t>Office-50A-7th Floor</t>
  </si>
  <si>
    <t>Office-28</t>
  </si>
  <si>
    <t>Office-28-7th Floor</t>
  </si>
  <si>
    <t>Ms. Priya Kaur Gill</t>
  </si>
  <si>
    <t>Office R-15-15th Floor</t>
  </si>
  <si>
    <t>Office R-16</t>
  </si>
  <si>
    <t>Office R-16-15th Floor</t>
  </si>
  <si>
    <t>Mr. Dharmdev Chaudhary</t>
  </si>
  <si>
    <t>OFFICE-26-3rd Floor</t>
  </si>
  <si>
    <t>Mr. Balbir Gupta</t>
  </si>
  <si>
    <t>Office R-02</t>
  </si>
  <si>
    <t>Office R-02-14th Floor</t>
  </si>
  <si>
    <t>Mrs. Ritu Anand</t>
  </si>
  <si>
    <t>Office-44A</t>
  </si>
  <si>
    <t>Office-44A-7th Floor</t>
  </si>
  <si>
    <t>Mrs. Shaminder Kaur</t>
  </si>
  <si>
    <t>Office-39</t>
  </si>
  <si>
    <t>Office-39-7th Floor</t>
  </si>
  <si>
    <t>Mr. Manmit Singh</t>
  </si>
  <si>
    <t>Office-49</t>
  </si>
  <si>
    <t>Office-49-7th Floor</t>
  </si>
  <si>
    <t>Dr. Pankaj Gupta</t>
  </si>
  <si>
    <t>Office R-17-14th Floor</t>
  </si>
  <si>
    <t>Mrs. Arpana Sood</t>
  </si>
  <si>
    <t>Office-46</t>
  </si>
  <si>
    <t>Office-46-7th Floor</t>
  </si>
  <si>
    <t>Mrs. Anju Sidhu</t>
  </si>
  <si>
    <t>Office-37</t>
  </si>
  <si>
    <t>Office-37-7th Floor</t>
  </si>
  <si>
    <t>Mrs. Minnoo Singh</t>
  </si>
  <si>
    <t>Office R-13-14th Floor</t>
  </si>
  <si>
    <t>Mr. Aman Pal Sharma</t>
  </si>
  <si>
    <t>OFFICE-05-11th Floor</t>
  </si>
  <si>
    <t>Mr. Ashutosh Gautam</t>
  </si>
  <si>
    <t>Office-59</t>
  </si>
  <si>
    <t>Office-59-7th Floor</t>
  </si>
  <si>
    <t>Mr. Pawan Kumar Bansal</t>
  </si>
  <si>
    <t>OFFICE-64</t>
  </si>
  <si>
    <t>OFFICE-64-3rd Floor</t>
  </si>
  <si>
    <t>Mr. Deepak Saggar</t>
  </si>
  <si>
    <t>OFFICE-09-9th Floor</t>
  </si>
  <si>
    <t>Mr. Kiran Pal Singh</t>
  </si>
  <si>
    <t>Office R-29</t>
  </si>
  <si>
    <t>Office R-29-12-A Floor</t>
  </si>
  <si>
    <t>Mrs. Usha Rana</t>
  </si>
  <si>
    <t>Office R-18</t>
  </si>
  <si>
    <t>Office R-18-12th Floor</t>
  </si>
  <si>
    <t>Mr. Lalit Nashier</t>
  </si>
  <si>
    <t>UNIT-19</t>
  </si>
  <si>
    <t>UNIT-19-Ground Floor</t>
  </si>
  <si>
    <t>Mr. Amninder Singh</t>
  </si>
  <si>
    <t>Office R-08-12th Floor</t>
  </si>
  <si>
    <t>Mrs. Jyoti Anand</t>
  </si>
  <si>
    <t>UNIT-10-1st Floor</t>
  </si>
  <si>
    <t>Mr. Mukesh Chander</t>
  </si>
  <si>
    <t>Office-05</t>
  </si>
  <si>
    <t>Office-05-7th Floor</t>
  </si>
  <si>
    <t>Ms. Kritika Salhotra</t>
  </si>
  <si>
    <t>OFFICE-27-12th Floor</t>
  </si>
  <si>
    <t>Ms. Archna Malhotra</t>
  </si>
  <si>
    <t>Office-38</t>
  </si>
  <si>
    <t>Office-38-7th Floor</t>
  </si>
  <si>
    <t>Mr. Satish Kumar Sharma</t>
  </si>
  <si>
    <t>OFFICE-22-12th Floor</t>
  </si>
  <si>
    <t>Mr. Dalbir Singh Karta (huf)</t>
  </si>
  <si>
    <t>OFFICE-24-12th Floor</t>
  </si>
  <si>
    <t>Mrs. Neelam Vij</t>
  </si>
  <si>
    <t>Unit-16A</t>
  </si>
  <si>
    <t>Unit-16A-2nd Floor</t>
  </si>
  <si>
    <t>Mr. Puneet Khanna</t>
  </si>
  <si>
    <t>OFFICE-15-14th Floor</t>
  </si>
  <si>
    <t>Mr. Jashanjot Singh Bhangu</t>
  </si>
  <si>
    <t>OFFICE-18-12th Floor</t>
  </si>
  <si>
    <t>Ms. Garima Sarin</t>
  </si>
  <si>
    <t>OFFICE-40-5th Floor</t>
  </si>
  <si>
    <t>Ms. Sapana Suresh Patel</t>
  </si>
  <si>
    <t>OFFICE-59-3rd Floor</t>
  </si>
  <si>
    <t>Mrs. Kirtan Yadav</t>
  </si>
  <si>
    <t>Office-38A</t>
  </si>
  <si>
    <t>Office-38A-7th Floor</t>
  </si>
  <si>
    <t>Mr. Sachin Sharma</t>
  </si>
  <si>
    <t>Office R-28</t>
  </si>
  <si>
    <t>Office R-28-12-A Floor</t>
  </si>
  <si>
    <t>Ms. Vinny Dewan</t>
  </si>
  <si>
    <t>OFFICE-04-15th Floor</t>
  </si>
  <si>
    <t>Mr. Sanjay Grover</t>
  </si>
  <si>
    <t>Office R-24-12th Floor</t>
  </si>
  <si>
    <t>Mr. Lila Karan Sharma</t>
  </si>
  <si>
    <t>Office R-27-12-A Floor</t>
  </si>
  <si>
    <t>Mr. Sanjay Sardana</t>
  </si>
  <si>
    <t>UNIT-04</t>
  </si>
  <si>
    <t>UNIT-04-Ground Floor</t>
  </si>
  <si>
    <t>Mr. Asis Sidhu</t>
  </si>
  <si>
    <t>Office R-17-12th Floor</t>
  </si>
  <si>
    <t>Unit-16A-1st Floor</t>
  </si>
  <si>
    <t>Mr. Rajesh Kumar Singh</t>
  </si>
  <si>
    <t>OFFICE-16-12th Floor</t>
  </si>
  <si>
    <t>Mr. Vikas Chauhan</t>
  </si>
  <si>
    <t>OFFICE-63-3rd Floor</t>
  </si>
  <si>
    <t>Mr. Vishal Marwah</t>
  </si>
  <si>
    <t>UNIT-27</t>
  </si>
  <si>
    <t>UNIT-27-1st Floor</t>
  </si>
  <si>
    <t>Mr. Sahil Singh Charak</t>
  </si>
  <si>
    <t>Office R-22-12th Floor</t>
  </si>
  <si>
    <t>Mr. Hitesh Chauhan</t>
  </si>
  <si>
    <t>Office R-19</t>
  </si>
  <si>
    <t>Office R-19-12th Floor</t>
  </si>
  <si>
    <t>Mrs. Manju Sharma</t>
  </si>
  <si>
    <t>Office-02</t>
  </si>
  <si>
    <t>Office-02-7th Floor</t>
  </si>
  <si>
    <t>Mrs. Varsha Singh</t>
  </si>
  <si>
    <t>OFFICE-28-12th Floor</t>
  </si>
  <si>
    <t>Ms. Khushmeet</t>
  </si>
  <si>
    <t>Unit-16A-Ground Floor</t>
  </si>
  <si>
    <t>Ms. Puja Gupta</t>
  </si>
  <si>
    <t>Office R-22-14th Floor</t>
  </si>
  <si>
    <t>Mr. Manish Rai</t>
  </si>
  <si>
    <t>Office R-23-14th Floor</t>
  </si>
  <si>
    <t>Mr. Ravi ranjan Kumar Verma</t>
  </si>
  <si>
    <t>OFFICE-20-12th Floor</t>
  </si>
  <si>
    <t>Mrs. Kanika Sood</t>
  </si>
  <si>
    <t>Office R-18-12-A Floor</t>
  </si>
  <si>
    <t>Mr. Sawtanter Singh</t>
  </si>
  <si>
    <t>OFFICE-11-15th Floor</t>
  </si>
  <si>
    <t>Mr. Mansa Ram Ahuja</t>
  </si>
  <si>
    <t>Office-36</t>
  </si>
  <si>
    <t>Office-36-7th Floor</t>
  </si>
  <si>
    <t>Mr. Devender Kumar Singh</t>
  </si>
  <si>
    <t>OFFICE-21-5th Floor</t>
  </si>
  <si>
    <t>Mr. Prem Singh</t>
  </si>
  <si>
    <t>Office-41</t>
  </si>
  <si>
    <t>Office-41-7th Floor</t>
  </si>
  <si>
    <t>Mrs. Bimla Devi</t>
  </si>
  <si>
    <t>OFFICE-19-12th Floor</t>
  </si>
  <si>
    <t>Mrs. Kuldeep Kaur</t>
  </si>
  <si>
    <t>UNIT-19-2nd Floor</t>
  </si>
  <si>
    <t>Mr. Surender K. Sharma</t>
  </si>
  <si>
    <t>UNIT-3</t>
  </si>
  <si>
    <t>UNIT-3-Ground Floor</t>
  </si>
  <si>
    <t>Mrs. Mamta Gupta</t>
  </si>
  <si>
    <t>Office R-16-12th Floor</t>
  </si>
  <si>
    <t>Mr. Abhineet Kumar</t>
  </si>
  <si>
    <t>OFFICE-59-8th Floor</t>
  </si>
  <si>
    <t>Ms. Smita Rajan</t>
  </si>
  <si>
    <t>OFFICE-14-14th Floor</t>
  </si>
  <si>
    <t>Mrs. Asha Kumar</t>
  </si>
  <si>
    <t>UNIT-28</t>
  </si>
  <si>
    <t>UNIT-28-2nd Floor</t>
  </si>
  <si>
    <t>Mrs. Sumita Ghosh</t>
  </si>
  <si>
    <t>OFFICE-39-12-A Floor</t>
  </si>
  <si>
    <t>Mr. Vaneesh Kaushal</t>
  </si>
  <si>
    <t>OFFICE-26-10th Floor</t>
  </si>
  <si>
    <t>Mr. Davinder Singh</t>
  </si>
  <si>
    <t>OFFICE-61-5th Floor</t>
  </si>
  <si>
    <t>Mr. Shesh Paul Gupta</t>
  </si>
  <si>
    <t>UNIT-6</t>
  </si>
  <si>
    <t>UNIT-6-1st Floor</t>
  </si>
  <si>
    <t>Ms. Anita Bhatia</t>
  </si>
  <si>
    <t>UNIT-07</t>
  </si>
  <si>
    <t>UNIT-07-2nd Floor</t>
  </si>
  <si>
    <t>Ms. Sohinder Kaur</t>
  </si>
  <si>
    <t>OFFICE-38</t>
  </si>
  <si>
    <t>OFFICE-38-8th Floor</t>
  </si>
  <si>
    <t>Mr. Hari Chand</t>
  </si>
  <si>
    <t>OFFICE-41-12-A Floor</t>
  </si>
  <si>
    <t>Mr. Parminder Bawa</t>
  </si>
  <si>
    <t>Unit-16B</t>
  </si>
  <si>
    <t>Unit-16B-1st Floor</t>
  </si>
  <si>
    <t>Mr. Vinay Chugh</t>
  </si>
  <si>
    <t>OFFICE-25-3rd Floor</t>
  </si>
  <si>
    <t>Mr. Sumir Rai Bhalla</t>
  </si>
  <si>
    <t>OFFICE-56-6th Floor</t>
  </si>
  <si>
    <t>Mr. Sumit Kumar Dash</t>
  </si>
  <si>
    <t>OFFICE-38-15th Floor</t>
  </si>
  <si>
    <t>OFFICE-39-15th Floor</t>
  </si>
  <si>
    <t>Mr. Ravi Shanker</t>
  </si>
  <si>
    <t>OFFICE-29-4th Floor</t>
  </si>
  <si>
    <t>Mr. Sanjeev Kumar Sharma</t>
  </si>
  <si>
    <t>OFFICE-42-15th Floor</t>
  </si>
  <si>
    <t>Ms. Tina Bansal</t>
  </si>
  <si>
    <t>OFFICE-59-10th Floor</t>
  </si>
  <si>
    <t>Ms. Alka Masta</t>
  </si>
  <si>
    <t>OFFICE-46-15th Floor</t>
  </si>
  <si>
    <t>Ms. Poonam Pandey</t>
  </si>
  <si>
    <t>OFFICE-49-15th Floor</t>
  </si>
  <si>
    <t>Mrs. Meenakshi Arora</t>
  </si>
  <si>
    <t>UNIT-09</t>
  </si>
  <si>
    <t>UNIT-09-Ground Floor</t>
  </si>
  <si>
    <t>Ms. Priyanka Tripathi</t>
  </si>
  <si>
    <t>OFFICE-18-15th Floor</t>
  </si>
  <si>
    <t>Ms. Arshita Batra</t>
  </si>
  <si>
    <t>OFFICE-57-9th Floor</t>
  </si>
  <si>
    <t>Mrs. Enakshi Kulshrestha</t>
  </si>
  <si>
    <t>OFFICE-37-12-A Floor</t>
  </si>
  <si>
    <t>Mr. Rupinder Singh Sidhu</t>
  </si>
  <si>
    <t>Office-42A</t>
  </si>
  <si>
    <t>Office-42A-7th Floor</t>
  </si>
  <si>
    <t>Ms. Rama Kumari</t>
  </si>
  <si>
    <t>OFFICE-49-8th Floor</t>
  </si>
  <si>
    <t>Mr. Kumud Kumar</t>
  </si>
  <si>
    <t>OFFICE-39-10th Floor</t>
  </si>
  <si>
    <t>Mr. Abhishek Gaur</t>
  </si>
  <si>
    <t>OFFICE-20-12-A Floor</t>
  </si>
  <si>
    <t>Mrs. Shalini Gupta</t>
  </si>
  <si>
    <t>OFFICE-11-11th Floor</t>
  </si>
  <si>
    <t>Mr. Kuldip Sharma</t>
  </si>
  <si>
    <t>OFFICE-48-4th Floor</t>
  </si>
  <si>
    <t>Ms. Vandana Kapoor</t>
  </si>
  <si>
    <t>OFFICE-27-11th Floor</t>
  </si>
  <si>
    <t>Mr. Akashdeep</t>
  </si>
  <si>
    <t>OFFICE-68-9th Floor</t>
  </si>
  <si>
    <t>Mr. Sunil Kumar Gupta</t>
  </si>
  <si>
    <t>Office R-19-12-A Floor</t>
  </si>
  <si>
    <t>Mrs. Hardeep Kour</t>
  </si>
  <si>
    <t>OFFICE-33-10th Floor</t>
  </si>
  <si>
    <t>Ms. Jagjyot Kour</t>
  </si>
  <si>
    <t>OFFICE-38-12-A Floor</t>
  </si>
  <si>
    <t>Mr. Vikas Thapa</t>
  </si>
  <si>
    <t>OFFICE-19-12-A Floor</t>
  </si>
  <si>
    <t>Mr. Anil Raheja</t>
  </si>
  <si>
    <t>OFFICE-62-10th Floor</t>
  </si>
  <si>
    <t>Mr. Brij Mohan Gupta</t>
  </si>
  <si>
    <t>OFFICE-35-15th Floor</t>
  </si>
  <si>
    <t>Mr. Deepak Chowdhary</t>
  </si>
  <si>
    <t>OFFICE-28-11th Floor</t>
  </si>
  <si>
    <t>Mr. Ashu Deep Sharma</t>
  </si>
  <si>
    <t>OFFICE-68-6th Floor</t>
  </si>
  <si>
    <t>OFFICE-67-6th Floor</t>
  </si>
  <si>
    <t>Ms. Aastha Kulshrestha</t>
  </si>
  <si>
    <t>OFFICE-27-15th Floor</t>
  </si>
  <si>
    <t>Mr. Sanjay Singh Rana</t>
  </si>
  <si>
    <t>OFFICE-17</t>
  </si>
  <si>
    <t>OFFICE-17-10th Floor</t>
  </si>
  <si>
    <t>Mr. Radhe Shayam Garg</t>
  </si>
  <si>
    <t>OFFICE-60-8th Floor</t>
  </si>
  <si>
    <t>Mrs. Gurjeet Kour</t>
  </si>
  <si>
    <t>Office R-20</t>
  </si>
  <si>
    <t>Office R-20-12-A Floor</t>
  </si>
  <si>
    <t>Mr. Manish Singla</t>
  </si>
  <si>
    <t>UNIT-11-1st Floor</t>
  </si>
  <si>
    <t>Mrs. Suman Lata</t>
  </si>
  <si>
    <t>OFFICE-53</t>
  </si>
  <si>
    <t>OFFICE-53-3rd Floor</t>
  </si>
  <si>
    <t>Mr. Pankaj Sareen</t>
  </si>
  <si>
    <t>OFFICE-01-12-A Floor</t>
  </si>
  <si>
    <t>OFFICE-02-12-A Floor</t>
  </si>
  <si>
    <t>Ms. Sona Sharma</t>
  </si>
  <si>
    <t>Office R-03-15th Floor</t>
  </si>
  <si>
    <t>Mrs. Meenakshi Choudhary Huf</t>
  </si>
  <si>
    <t>Office-64</t>
  </si>
  <si>
    <t>Office-64-7th Floor</t>
  </si>
  <si>
    <t>Mr. Narender Pal Bhardwaj</t>
  </si>
  <si>
    <t>OFFICE-07-6th Floor</t>
  </si>
  <si>
    <t>Mrs. Pinderjeet Kaur</t>
  </si>
  <si>
    <t>OFFICE-08-4th Floor</t>
  </si>
  <si>
    <t>Mr. Jatin Singla</t>
  </si>
  <si>
    <t>OFFICE-10-3rd Floor</t>
  </si>
  <si>
    <t>Mr. Sanjay Kumar Ralhan</t>
  </si>
  <si>
    <t>UNIT-27-Ground Floor</t>
  </si>
  <si>
    <t>Mr. Sumit Batra</t>
  </si>
  <si>
    <t>UNIT-3-1st Floor</t>
  </si>
  <si>
    <t>Mr. Y murali Mohan Reddy</t>
  </si>
  <si>
    <t>Office-42</t>
  </si>
  <si>
    <t>Office-42-7th Floor</t>
  </si>
  <si>
    <t>Mrs. Jasmine Kaur</t>
  </si>
  <si>
    <t>OFFICE-42-5th Floor</t>
  </si>
  <si>
    <t>Mrs. Harinder Pal Kaur</t>
  </si>
  <si>
    <t>OFFICE-67-8th Floor</t>
  </si>
  <si>
    <t>Ms. Alka Sharma</t>
  </si>
  <si>
    <t>OFFICE-38-6th Floor</t>
  </si>
  <si>
    <t>Mr. Kamal Singh</t>
  </si>
  <si>
    <t>OFFICE-37-15th Floor</t>
  </si>
  <si>
    <t>OFFICE-36-15th Floor</t>
  </si>
  <si>
    <t>Mr. Rahul Goyal</t>
  </si>
  <si>
    <t>OFFICE-06-12-A Floor</t>
  </si>
  <si>
    <t>Mr. Surinderpal Singh Virk</t>
  </si>
  <si>
    <t>UNIT-20</t>
  </si>
  <si>
    <t>UNIT-20-Ground Floor</t>
  </si>
  <si>
    <t>Mr. Surjeet Kumar Chopra</t>
  </si>
  <si>
    <t>UNIT-29</t>
  </si>
  <si>
    <t>UNIT-29-2nd Floor</t>
  </si>
  <si>
    <t>Mr. Rohit Agarwal</t>
  </si>
  <si>
    <t>OFFICE-19-11th Floor</t>
  </si>
  <si>
    <t>Mr. Vishal Abrol</t>
  </si>
  <si>
    <t>OFFICE-49-3rd Floor</t>
  </si>
  <si>
    <t>OFFICE-40-9th Floor</t>
  </si>
  <si>
    <t>Mr. Naresh Kumar</t>
  </si>
  <si>
    <t>OFFICE-08-6th Floor</t>
  </si>
  <si>
    <t>Mrs. Tejinder Kaur Khurana</t>
  </si>
  <si>
    <t>UNIT-13</t>
  </si>
  <si>
    <t>UNIT-13-Ground Floor</t>
  </si>
  <si>
    <t>UNIT-14-Ground Floor</t>
  </si>
  <si>
    <t>Mr. Rajesh Khosla</t>
  </si>
  <si>
    <t>OFFICE-02-14th Floor</t>
  </si>
  <si>
    <t>Mrs. Meenu Bala</t>
  </si>
  <si>
    <t>OFFICE-50-14th Floor</t>
  </si>
  <si>
    <t>Mr. Sandeep Verma</t>
  </si>
  <si>
    <t>OFFICE-65-6th Floor</t>
  </si>
  <si>
    <t>Mr. Abhishek Kumar</t>
  </si>
  <si>
    <t>OFFICE-40-12-A Floor</t>
  </si>
  <si>
    <t>Colonel Balraj Sardana</t>
  </si>
  <si>
    <t>OFFICE-38-10th Floor</t>
  </si>
  <si>
    <t>Mrs. Anu Sahni</t>
  </si>
  <si>
    <t>OFFICE-46-3rd Floor</t>
  </si>
  <si>
    <t>Mr. Vivek Guleria</t>
  </si>
  <si>
    <t>OFFICE-49-14th Floor</t>
  </si>
  <si>
    <t>Mrs. Satpal Kaur</t>
  </si>
  <si>
    <t>UNIT-21</t>
  </si>
  <si>
    <t>UNIT-21-Ground Floor</t>
  </si>
  <si>
    <t>Mr. Pardeep Chopra</t>
  </si>
  <si>
    <t>UNIT-23-1st Floor</t>
  </si>
  <si>
    <t>Mr. Gaurav Kumar</t>
  </si>
  <si>
    <t>OFFICE-57-3rd Floor</t>
  </si>
  <si>
    <t>Mr. Devesh Kumar</t>
  </si>
  <si>
    <t>OFFICE-31-3rd Floor</t>
  </si>
  <si>
    <t>Mrs. Monika</t>
  </si>
  <si>
    <t>OFFICE-14-5th Floor</t>
  </si>
  <si>
    <t>Mr. Vishesh Chaudhary</t>
  </si>
  <si>
    <t>UNIT-29-Ground Floor</t>
  </si>
  <si>
    <t>Mrs. Swati Sawal</t>
  </si>
  <si>
    <t>OFFICE-04-12th Floor</t>
  </si>
  <si>
    <t>Ms. Renu Chanana</t>
  </si>
  <si>
    <t>UNIT-25</t>
  </si>
  <si>
    <t>UNIT-25-1st Floor</t>
  </si>
  <si>
    <t>Mr. Anoop kumar Huf</t>
  </si>
  <si>
    <t>OFFICE-12A-5th Floor</t>
  </si>
  <si>
    <t>Mrs. Namita Gupta</t>
  </si>
  <si>
    <t>UNIT-19-1st Floor</t>
  </si>
  <si>
    <t>Mrs. Supriti Malhotra</t>
  </si>
  <si>
    <t>Office-04</t>
  </si>
  <si>
    <t>Office-04-7th Floor</t>
  </si>
  <si>
    <t>Mr. Surinder Paul Singh</t>
  </si>
  <si>
    <t>OFFICE-23-5th Floor</t>
  </si>
  <si>
    <t>Ms. Jasvinder Kaur</t>
  </si>
  <si>
    <t>OFFICE-45-3rd Floor</t>
  </si>
  <si>
    <t>Mrs. Manpreet Kaur Joshi</t>
  </si>
  <si>
    <t>OFFICE-16-15th Floor</t>
  </si>
  <si>
    <t>M/S. Jmd astrological consultancy services pvt. ltd.</t>
  </si>
  <si>
    <t>UNIT-28-Ground Floor</t>
  </si>
  <si>
    <t>M/S. Drs cargo movers pvt. ltd.</t>
  </si>
  <si>
    <t>OFFICE-22-3rd Floor</t>
  </si>
  <si>
    <t>Mr. Daljit Singh</t>
  </si>
  <si>
    <t>Unit-02</t>
  </si>
  <si>
    <t>Unit-02-Ground Floor</t>
  </si>
  <si>
    <t>M/S. Pdssia it consultants pvt. ltd.</t>
  </si>
  <si>
    <t>OFFICE-68-8th Floor</t>
  </si>
  <si>
    <t>Mr. Rajpal Jaglan</t>
  </si>
  <si>
    <t>OFFICE-36-5th Floor</t>
  </si>
  <si>
    <t>Dr. Gurjeet Kaur Raikhy</t>
  </si>
  <si>
    <t>UNIT-10-Ground Floor</t>
  </si>
  <si>
    <t>TOTAL</t>
  </si>
  <si>
    <t>Sold units</t>
  </si>
  <si>
    <t>Sale Value (Cr.)</t>
  </si>
  <si>
    <t>Average Rate/sq.ft</t>
  </si>
  <si>
    <t>Company</t>
  </si>
  <si>
    <t>SBL Builders Private Limited</t>
  </si>
  <si>
    <t>Project</t>
  </si>
  <si>
    <t>Grande Next One</t>
  </si>
  <si>
    <t xml:space="preserve">Location </t>
  </si>
  <si>
    <t>Zirakpur, Punjab</t>
  </si>
  <si>
    <t>Lender</t>
  </si>
  <si>
    <t>DMI Finance Ltd.</t>
  </si>
  <si>
    <t>Sold Receivables</t>
  </si>
  <si>
    <t>Unsold Receivables</t>
  </si>
  <si>
    <t>Cost Incurred</t>
  </si>
  <si>
    <t>Cost to be incurred</t>
  </si>
  <si>
    <t>Loan POS</t>
  </si>
  <si>
    <t>Net Receivables</t>
  </si>
  <si>
    <t>Mr. Himanshu Khandelwal</t>
  </si>
  <si>
    <t>Mr. Kuldeep Kumar Sharma</t>
  </si>
  <si>
    <t>Mr. Ashok Kumar Singh</t>
  </si>
  <si>
    <t>Mrs. Ravneet Garg</t>
  </si>
  <si>
    <t>Mr. Gurpal Singh</t>
  </si>
  <si>
    <t>Ms. Esha Sodhi</t>
  </si>
  <si>
    <t>Mr. Chander bir Singh Chowdhry</t>
  </si>
  <si>
    <t>Mrs. Usha Rani</t>
  </si>
  <si>
    <t>Mr. Avtar Singh</t>
  </si>
  <si>
    <t>Mr. Amit Puri</t>
  </si>
  <si>
    <t>Mrs. Vandana Gupta</t>
  </si>
  <si>
    <t>Dr. Rajeev Kapoor</t>
  </si>
  <si>
    <t>Office R-31</t>
  </si>
  <si>
    <t>Mr. Suresh Kumar Sharma</t>
  </si>
  <si>
    <t>Mr. Kartik Negi</t>
  </si>
  <si>
    <t>Mrs. Hitprabha Ahuja</t>
  </si>
  <si>
    <t>Mrs. Amrati Devi</t>
  </si>
  <si>
    <t>UNIT-26</t>
  </si>
  <si>
    <t>Mr. Kewal Singh Bassi</t>
  </si>
  <si>
    <t>UNIT-22</t>
  </si>
  <si>
    <t>Mrs. Parmjeet Kaur</t>
  </si>
  <si>
    <t>Mr. Vishal Mehta</t>
  </si>
  <si>
    <t>Mr. Saurabh Sethi</t>
  </si>
  <si>
    <t>Mr. Karan Checker</t>
  </si>
  <si>
    <t>Ms. Purnima Gupta</t>
  </si>
  <si>
    <t>Mr. Rajat Gupta</t>
  </si>
  <si>
    <t>Mr. Slm Contracts Pvt. ltd.</t>
  </si>
  <si>
    <t>Mr. Decode Advertising Pvt. ltd.</t>
  </si>
  <si>
    <t>Mrs. Aarti Sharma</t>
  </si>
  <si>
    <t>Mrs. Prabha Aggarwal</t>
  </si>
  <si>
    <t>Office R-30</t>
  </si>
  <si>
    <t>Mr. Hardeep Singh</t>
  </si>
  <si>
    <t>Ms. Sumeet Gulati</t>
  </si>
  <si>
    <t>Mr. Samar Gulati</t>
  </si>
  <si>
    <t>GF</t>
  </si>
  <si>
    <t>Mr. Lohit Partap Vaid</t>
  </si>
  <si>
    <t>Mrs. Madhu Sehgal</t>
  </si>
  <si>
    <t>Mr. Akshya Garg</t>
  </si>
  <si>
    <t>Mr. Kamal Singla</t>
  </si>
  <si>
    <t>Mrs. Kusum Lata</t>
  </si>
  <si>
    <t>Cost of Project</t>
  </si>
  <si>
    <t xml:space="preserve">Particulars  </t>
  </si>
  <si>
    <t>Incurred till date</t>
  </si>
  <si>
    <t>To be Incurred</t>
  </si>
  <si>
    <t>Land &amp; Development cost</t>
  </si>
  <si>
    <t>Approval &amp; Other Charges</t>
  </si>
  <si>
    <t>FAR &amp; Add. Compensation</t>
  </si>
  <si>
    <t>Lease Rent</t>
  </si>
  <si>
    <t>Construction Cost</t>
  </si>
  <si>
    <t>Other Indirect Cost</t>
  </si>
  <si>
    <t>Finance Charges</t>
  </si>
  <si>
    <t>Administrative Cost</t>
  </si>
  <si>
    <t xml:space="preserve">Total </t>
  </si>
  <si>
    <t>Promoter’s Contribution/Other Payables</t>
  </si>
  <si>
    <t>Proposed Loan from ABFL</t>
  </si>
  <si>
    <t>FDR with ICICI Bank</t>
  </si>
  <si>
    <t>Creditors</t>
  </si>
  <si>
    <t>Equipment Finance</t>
  </si>
  <si>
    <t>Cancelled Units refund due</t>
  </si>
  <si>
    <t xml:space="preserve">Booking Money </t>
  </si>
  <si>
    <t>Beaver International India Pvt. Ltd.</t>
  </si>
  <si>
    <t>GST No. 09AABCB8172G1ZL</t>
  </si>
  <si>
    <t>Turnover(Cr.)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</si>
</sst>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165" formatCode="d\ mmm\ yyyy"/>
    <numFmt numFmtId="166" formatCode="mmmm\ yyyy"/>
    <numFmt numFmtId="167" formatCode="mmm\ yy"/>
    <numFmt numFmtId="168" formatCode="&quot; &quot;* #,##0.00&quot; &quot;;&quot; &quot;* \(#,##0.00\);&quot; &quot;* &quot;-&quot;??&quot; &quot;"/>
    <numFmt numFmtId="169" formatCode="&quot; &quot;* #,##0&quot; &quot;;&quot; &quot;* \(#,##0\);&quot; &quot;* &quot;-&quot;??&quot; &quot;"/>
    <numFmt numFmtId="170" formatCode="&quot; &quot;* #,##0&quot; &quot;;&quot; &quot;* \(#,##0\);&quot; &quot;* &quot;- &quot;"/>
    <numFmt numFmtId="171" formatCode="&quot; &quot;* #,##0.0&quot; &quot;;&quot; &quot;* \(#,##0.0\);&quot; &quot;* &quot;-&quot;??&quot; &quot;"/>
    <numFmt numFmtId="172" formatCode="mmmm&quot;-&quot;yy"/>
    <numFmt numFmtId="173" formatCode="0;0"/>
    <numFmt numFmtId="174" formatCode="&quot; &quot;* #,##0&quot; &quot;;&quot; &quot;* &quot;-&quot;#,##0&quot; &quot;;&quot; &quot;* &quot;-&quot;??&quot; &quot;"/>
    <numFmt numFmtId="175" formatCode="&quot; &quot;* #,##0.00&quot; &quot;;&quot; &quot;* &quot;-&quot;#,##0.00&quot; &quot;;&quot; &quot;* &quot;-&quot;??&quot; &quot;"/>
    <numFmt numFmtId="176" formatCode="yyyy"/>
    <numFmt numFmtId="177" formatCode="&quot;QQQ&quot;"/>
    <numFmt numFmtId="178" formatCode="mmmm"/>
    <numFmt numFmtId="179" formatCode="d/m/yyyy"/>
    <numFmt numFmtId="180" formatCode="d/mmm/yy"/>
    <numFmt numFmtId="181" formatCode="0.000"/>
    <numFmt numFmtId="182" formatCode="&quot; &quot;* #,##0.000&quot; &quot;;&quot; &quot;* &quot;-&quot;#,##0.000&quot; &quot;;&quot; &quot;* &quot;-&quot;???&quot; &quot;"/>
  </numFmts>
  <fonts count="22">
    <font>
      <sz val="11"/>
      <color indexed="8"/>
      <name val="Calibri"/>
    </font>
    <font>
      <sz val="12"/>
      <color indexed="8"/>
      <name val="Calibri"/>
      <family val="2"/>
    </font>
    <font>
      <sz val="14"/>
      <color indexed="8"/>
      <name val="Calibri"/>
      <family val="2"/>
    </font>
    <font>
      <u/>
      <sz val="12"/>
      <color indexed="11"/>
      <name val="Calibri"/>
      <family val="2"/>
    </font>
    <font>
      <b/>
      <u/>
      <sz val="11"/>
      <color indexed="8"/>
      <name val="Calibri"/>
      <family val="2"/>
    </font>
    <font>
      <u/>
      <sz val="11"/>
      <color indexed="14"/>
      <name val="Calibri"/>
      <family val="2"/>
    </font>
    <font>
      <sz val="10"/>
      <color indexed="8"/>
      <name val="Calibri"/>
      <family val="2"/>
    </font>
    <font>
      <b/>
      <sz val="11"/>
      <color indexed="8"/>
      <name val="Calibri"/>
      <family val="2"/>
    </font>
    <font>
      <b/>
      <sz val="10"/>
      <color indexed="8"/>
      <name val="Calibri"/>
      <family val="2"/>
    </font>
    <font>
      <b/>
      <sz val="8"/>
      <color indexed="8"/>
      <name val="Calibri"/>
      <family val="2"/>
    </font>
    <font>
      <sz val="12"/>
      <color indexed="8"/>
      <name val="Bookman Old Style"/>
      <family val="1"/>
    </font>
    <font>
      <b/>
      <sz val="9"/>
      <color indexed="8"/>
      <name val="PF Encore Sans Pro"/>
    </font>
    <font>
      <sz val="9"/>
      <color indexed="8"/>
      <name val="PF Encore Sans Pro"/>
    </font>
    <font>
      <b/>
      <sz val="8"/>
      <color indexed="8"/>
      <name val="PF Encore Sans Pro"/>
    </font>
    <font>
      <sz val="8"/>
      <color indexed="8"/>
      <name val="PF Encore Sans Pro"/>
    </font>
    <font>
      <sz val="11"/>
      <color indexed="8"/>
      <name val="Calibri Light"/>
      <family val="2"/>
    </font>
    <font>
      <u/>
      <sz val="10"/>
      <color indexed="8"/>
      <name val="Calibri Light"/>
      <family val="2"/>
    </font>
    <font>
      <sz val="10"/>
      <color indexed="8"/>
      <name val="Calibri Light"/>
      <family val="2"/>
    </font>
    <font>
      <sz val="10"/>
      <color indexed="8"/>
      <name val="Times New Roman"/>
      <family val="1"/>
    </font>
    <font>
      <sz val="9"/>
      <color indexed="8"/>
      <name val="Calibri Light"/>
      <family val="2"/>
    </font>
    <font>
      <sz val="9"/>
      <color indexed="8"/>
      <name val="Calibri"/>
      <family val="2"/>
    </font>
    <font>
      <sz val="8"/>
      <color indexed="8"/>
      <name val="Calibri Light"/>
      <family val="2"/>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20"/>
        <bgColor auto="1"/>
      </patternFill>
    </fill>
    <fill>
      <patternFill patternType="solid">
        <fgColor indexed="34"/>
        <bgColor auto="1"/>
      </patternFill>
    </fill>
  </fills>
  <borders count="166">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8"/>
      </top>
      <bottom style="thin">
        <color indexed="8"/>
      </bottom>
      <diagonal/>
    </border>
    <border>
      <left style="thin">
        <color indexed="8"/>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12"/>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12"/>
      </right>
      <top style="thin">
        <color indexed="8"/>
      </top>
      <bottom style="thin">
        <color indexed="8"/>
      </bottom>
      <diagonal/>
    </border>
    <border>
      <left style="thin">
        <color indexed="12"/>
      </left>
      <right style="medium">
        <color indexed="8"/>
      </right>
      <top style="thin">
        <color indexed="8"/>
      </top>
      <bottom style="thin">
        <color indexed="12"/>
      </bottom>
      <diagonal/>
    </border>
    <border>
      <left style="thin">
        <color indexed="8"/>
      </left>
      <right style="thin">
        <color indexed="8"/>
      </right>
      <top style="thin">
        <color indexed="8"/>
      </top>
      <bottom style="thin">
        <color indexed="12"/>
      </bottom>
      <diagonal/>
    </border>
    <border>
      <left style="thin">
        <color indexed="8"/>
      </left>
      <right style="thin">
        <color indexed="8"/>
      </right>
      <top style="medium">
        <color indexed="8"/>
      </top>
      <bottom style="thin">
        <color indexed="8"/>
      </bottom>
      <diagonal/>
    </border>
    <border>
      <left style="thin">
        <color indexed="8"/>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12"/>
      </left>
      <right style="medium">
        <color indexed="8"/>
      </right>
      <top style="thin">
        <color indexed="12"/>
      </top>
      <bottom style="thin">
        <color indexed="12"/>
      </bottom>
      <diagonal/>
    </border>
    <border>
      <left style="thin">
        <color indexed="8"/>
      </left>
      <right style="thin">
        <color indexed="8"/>
      </right>
      <top style="thin">
        <color indexed="12"/>
      </top>
      <bottom style="thin">
        <color indexed="12"/>
      </bottom>
      <diagonal/>
    </border>
    <border>
      <left style="medium">
        <color indexed="8"/>
      </left>
      <right style="thin">
        <color indexed="12"/>
      </right>
      <top style="medium">
        <color indexed="8"/>
      </top>
      <bottom style="medium">
        <color indexed="8"/>
      </bottom>
      <diagonal/>
    </border>
    <border>
      <left style="thin">
        <color indexed="12"/>
      </left>
      <right style="thin">
        <color indexed="12"/>
      </right>
      <top style="medium">
        <color indexed="8"/>
      </top>
      <bottom style="medium">
        <color indexed="8"/>
      </bottom>
      <diagonal/>
    </border>
    <border>
      <left style="thin">
        <color indexed="12"/>
      </left>
      <right style="medium">
        <color indexed="8"/>
      </right>
      <top style="medium">
        <color indexed="8"/>
      </top>
      <bottom style="medium">
        <color indexed="8"/>
      </bottom>
      <diagonal/>
    </border>
    <border>
      <left style="medium">
        <color indexed="8"/>
      </left>
      <right style="thin">
        <color indexed="12"/>
      </right>
      <top style="thin">
        <color indexed="12"/>
      </top>
      <bottom style="thin">
        <color indexed="12"/>
      </bottom>
      <diagonal/>
    </border>
    <border>
      <left style="medium">
        <color indexed="8"/>
      </left>
      <right style="thin">
        <color indexed="12"/>
      </right>
      <top style="medium">
        <color indexed="8"/>
      </top>
      <bottom style="thin">
        <color indexed="8"/>
      </bottom>
      <diagonal/>
    </border>
    <border>
      <left style="thin">
        <color indexed="12"/>
      </left>
      <right style="thin">
        <color indexed="12"/>
      </right>
      <top style="medium">
        <color indexed="8"/>
      </top>
      <bottom style="thin">
        <color indexed="8"/>
      </bottom>
      <diagonal/>
    </border>
    <border>
      <left style="thin">
        <color indexed="12"/>
      </left>
      <right style="medium">
        <color indexed="8"/>
      </right>
      <top style="medium">
        <color indexed="8"/>
      </top>
      <bottom style="thin">
        <color indexed="8"/>
      </bottom>
      <diagonal/>
    </border>
    <border>
      <left style="thin">
        <color indexed="12"/>
      </left>
      <right/>
      <top style="thin">
        <color indexed="12"/>
      </top>
      <bottom style="thin">
        <color indexed="19"/>
      </bottom>
      <diagonal/>
    </border>
    <border>
      <left/>
      <right/>
      <top style="thin">
        <color indexed="12"/>
      </top>
      <bottom style="thin">
        <color indexed="19"/>
      </bottom>
      <diagonal/>
    </border>
    <border>
      <left/>
      <right style="thin">
        <color indexed="12"/>
      </right>
      <top style="thin">
        <color indexed="12"/>
      </top>
      <bottom style="thin">
        <color indexed="19"/>
      </bottom>
      <diagonal/>
    </border>
    <border>
      <left style="thin">
        <color indexed="19"/>
      </left>
      <right/>
      <top style="thin">
        <color indexed="19"/>
      </top>
      <bottom style="thin">
        <color indexed="21"/>
      </bottom>
      <diagonal/>
    </border>
    <border>
      <left/>
      <right/>
      <top style="thin">
        <color indexed="19"/>
      </top>
      <bottom style="thin">
        <color indexed="21"/>
      </bottom>
      <diagonal/>
    </border>
    <border>
      <left/>
      <right style="thin">
        <color indexed="21"/>
      </right>
      <top style="thin">
        <color indexed="19"/>
      </top>
      <bottom style="thin">
        <color indexed="21"/>
      </bottom>
      <diagonal/>
    </border>
    <border>
      <left style="thin">
        <color indexed="21"/>
      </left>
      <right style="thin">
        <color indexed="22"/>
      </right>
      <top style="thin">
        <color indexed="19"/>
      </top>
      <bottom style="thin">
        <color indexed="21"/>
      </bottom>
      <diagonal/>
    </border>
    <border>
      <left style="thin">
        <color indexed="22"/>
      </left>
      <right style="thin">
        <color indexed="22"/>
      </right>
      <top style="thin">
        <color indexed="19"/>
      </top>
      <bottom style="thin">
        <color indexed="21"/>
      </bottom>
      <diagonal/>
    </border>
    <border>
      <left style="thin">
        <color indexed="22"/>
      </left>
      <right style="thin">
        <color indexed="19"/>
      </right>
      <top style="thin">
        <color indexed="19"/>
      </top>
      <bottom style="thin">
        <color indexed="21"/>
      </bottom>
      <diagonal/>
    </border>
    <border>
      <left style="thin">
        <color indexed="19"/>
      </left>
      <right/>
      <top style="thin">
        <color indexed="21"/>
      </top>
      <bottom style="thin">
        <color indexed="21"/>
      </bottom>
      <diagonal/>
    </border>
    <border>
      <left/>
      <right/>
      <top style="thin">
        <color indexed="21"/>
      </top>
      <bottom style="thin">
        <color indexed="21"/>
      </bottom>
      <diagonal/>
    </border>
    <border>
      <left/>
      <right style="thin">
        <color indexed="12"/>
      </right>
      <top style="thin">
        <color indexed="21"/>
      </top>
      <bottom style="thin">
        <color indexed="21"/>
      </bottom>
      <diagonal/>
    </border>
    <border>
      <left style="thin">
        <color indexed="12"/>
      </left>
      <right style="thin">
        <color indexed="23"/>
      </right>
      <top style="thin">
        <color indexed="21"/>
      </top>
      <bottom style="thin">
        <color indexed="21"/>
      </bottom>
      <diagonal/>
    </border>
    <border>
      <left style="thin">
        <color indexed="23"/>
      </left>
      <right style="thin">
        <color indexed="23"/>
      </right>
      <top style="thin">
        <color indexed="21"/>
      </top>
      <bottom style="thin">
        <color indexed="21"/>
      </bottom>
      <diagonal/>
    </border>
    <border>
      <left style="thin">
        <color indexed="23"/>
      </left>
      <right style="thin">
        <color indexed="19"/>
      </right>
      <top style="thin">
        <color indexed="21"/>
      </top>
      <bottom style="thin">
        <color indexed="21"/>
      </bottom>
      <diagonal/>
    </border>
    <border>
      <left style="thin">
        <color indexed="19"/>
      </left>
      <right/>
      <top style="thin">
        <color indexed="21"/>
      </top>
      <bottom style="thin">
        <color indexed="19"/>
      </bottom>
      <diagonal/>
    </border>
    <border>
      <left/>
      <right/>
      <top style="thin">
        <color indexed="21"/>
      </top>
      <bottom style="thin">
        <color indexed="19"/>
      </bottom>
      <diagonal/>
    </border>
    <border>
      <left/>
      <right style="thin">
        <color indexed="24"/>
      </right>
      <top style="thin">
        <color indexed="21"/>
      </top>
      <bottom style="thin">
        <color indexed="19"/>
      </bottom>
      <diagonal/>
    </border>
    <border>
      <left style="thin">
        <color indexed="24"/>
      </left>
      <right style="thin">
        <color indexed="25"/>
      </right>
      <top style="thin">
        <color indexed="21"/>
      </top>
      <bottom style="thin">
        <color indexed="19"/>
      </bottom>
      <diagonal/>
    </border>
    <border>
      <left style="thin">
        <color indexed="25"/>
      </left>
      <right style="thin">
        <color indexed="25"/>
      </right>
      <top style="thin">
        <color indexed="21"/>
      </top>
      <bottom style="thin">
        <color indexed="19"/>
      </bottom>
      <diagonal/>
    </border>
    <border>
      <left style="thin">
        <color indexed="25"/>
      </left>
      <right style="thin">
        <color indexed="19"/>
      </right>
      <top style="thin">
        <color indexed="21"/>
      </top>
      <bottom style="thin">
        <color indexed="19"/>
      </bottom>
      <diagonal/>
    </border>
    <border>
      <left style="thin">
        <color indexed="19"/>
      </left>
      <right/>
      <top style="thin">
        <color indexed="21"/>
      </top>
      <bottom style="thin">
        <color indexed="26"/>
      </bottom>
      <diagonal/>
    </border>
    <border>
      <left/>
      <right/>
      <top style="thin">
        <color indexed="21"/>
      </top>
      <bottom style="thin">
        <color indexed="26"/>
      </bottom>
      <diagonal/>
    </border>
    <border>
      <left/>
      <right style="thin">
        <color indexed="12"/>
      </right>
      <top style="thin">
        <color indexed="21"/>
      </top>
      <bottom style="thin">
        <color indexed="26"/>
      </bottom>
      <diagonal/>
    </border>
    <border>
      <left style="thin">
        <color indexed="12"/>
      </left>
      <right style="thin">
        <color indexed="23"/>
      </right>
      <top style="thin">
        <color indexed="21"/>
      </top>
      <bottom style="thin">
        <color indexed="26"/>
      </bottom>
      <diagonal/>
    </border>
    <border>
      <left style="thin">
        <color indexed="23"/>
      </left>
      <right style="thin">
        <color indexed="23"/>
      </right>
      <top style="thin">
        <color indexed="21"/>
      </top>
      <bottom style="thin">
        <color indexed="26"/>
      </bottom>
      <diagonal/>
    </border>
    <border>
      <left style="thin">
        <color indexed="23"/>
      </left>
      <right style="thin">
        <color indexed="19"/>
      </right>
      <top style="thin">
        <color indexed="21"/>
      </top>
      <bottom style="thin">
        <color indexed="26"/>
      </bottom>
      <diagonal/>
    </border>
    <border>
      <left style="thin">
        <color indexed="19"/>
      </left>
      <right/>
      <top style="thin">
        <color indexed="26"/>
      </top>
      <bottom style="thin">
        <color indexed="26"/>
      </bottom>
      <diagonal/>
    </border>
    <border>
      <left/>
      <right/>
      <top style="thin">
        <color indexed="26"/>
      </top>
      <bottom style="thin">
        <color indexed="26"/>
      </bottom>
      <diagonal/>
    </border>
    <border>
      <left/>
      <right style="thin">
        <color indexed="12"/>
      </right>
      <top style="thin">
        <color indexed="26"/>
      </top>
      <bottom style="thin">
        <color indexed="26"/>
      </bottom>
      <diagonal/>
    </border>
    <border>
      <left style="thin">
        <color indexed="12"/>
      </left>
      <right style="thin">
        <color indexed="23"/>
      </right>
      <top style="thin">
        <color indexed="26"/>
      </top>
      <bottom style="thin">
        <color indexed="26"/>
      </bottom>
      <diagonal/>
    </border>
    <border>
      <left style="thin">
        <color indexed="23"/>
      </left>
      <right style="thin">
        <color indexed="23"/>
      </right>
      <top style="thin">
        <color indexed="26"/>
      </top>
      <bottom style="thin">
        <color indexed="26"/>
      </bottom>
      <diagonal/>
    </border>
    <border>
      <left style="thin">
        <color indexed="23"/>
      </left>
      <right style="thin">
        <color indexed="19"/>
      </right>
      <top style="thin">
        <color indexed="26"/>
      </top>
      <bottom style="thin">
        <color indexed="26"/>
      </bottom>
      <diagonal/>
    </border>
    <border>
      <left style="thin">
        <color indexed="19"/>
      </left>
      <right/>
      <top style="thin">
        <color indexed="26"/>
      </top>
      <bottom/>
      <diagonal/>
    </border>
    <border>
      <left style="thin">
        <color indexed="19"/>
      </left>
      <right/>
      <top/>
      <bottom/>
      <diagonal/>
    </border>
    <border>
      <left style="thin">
        <color indexed="19"/>
      </left>
      <right/>
      <top/>
      <bottom style="thin">
        <color indexed="26"/>
      </bottom>
      <diagonal/>
    </border>
    <border>
      <left style="thin">
        <color indexed="19"/>
      </left>
      <right/>
      <top/>
      <bottom style="thin">
        <color indexed="21"/>
      </bottom>
      <diagonal/>
    </border>
    <border>
      <left/>
      <right/>
      <top style="thin">
        <color indexed="26"/>
      </top>
      <bottom style="thin">
        <color indexed="21"/>
      </bottom>
      <diagonal/>
    </border>
    <border>
      <left/>
      <right style="thin">
        <color indexed="12"/>
      </right>
      <top style="thin">
        <color indexed="26"/>
      </top>
      <bottom style="thin">
        <color indexed="21"/>
      </bottom>
      <diagonal/>
    </border>
    <border>
      <left style="thin">
        <color indexed="12"/>
      </left>
      <right style="thin">
        <color indexed="23"/>
      </right>
      <top style="thin">
        <color indexed="26"/>
      </top>
      <bottom style="thin">
        <color indexed="21"/>
      </bottom>
      <diagonal/>
    </border>
    <border>
      <left style="thin">
        <color indexed="23"/>
      </left>
      <right style="thin">
        <color indexed="23"/>
      </right>
      <top style="thin">
        <color indexed="26"/>
      </top>
      <bottom style="thin">
        <color indexed="21"/>
      </bottom>
      <diagonal/>
    </border>
    <border>
      <left style="thin">
        <color indexed="23"/>
      </left>
      <right style="thin">
        <color indexed="19"/>
      </right>
      <top style="thin">
        <color indexed="26"/>
      </top>
      <bottom style="thin">
        <color indexed="21"/>
      </bottom>
      <diagonal/>
    </border>
    <border>
      <left style="thin">
        <color indexed="19"/>
      </left>
      <right/>
      <top style="thin">
        <color indexed="26"/>
      </top>
      <bottom style="thin">
        <color indexed="21"/>
      </bottom>
      <diagonal/>
    </border>
    <border>
      <left style="thin">
        <color indexed="19"/>
      </left>
      <right style="thin">
        <color indexed="21"/>
      </right>
      <top style="thin">
        <color indexed="19"/>
      </top>
      <bottom style="thin">
        <color indexed="21"/>
      </bottom>
      <diagonal/>
    </border>
    <border>
      <left style="thin">
        <color indexed="19"/>
      </left>
      <right style="thin">
        <color indexed="12"/>
      </right>
      <top style="thin">
        <color indexed="21"/>
      </top>
      <bottom style="thin">
        <color indexed="19"/>
      </bottom>
      <diagonal/>
    </border>
    <border>
      <left style="thin">
        <color indexed="12"/>
      </left>
      <right style="thin">
        <color indexed="23"/>
      </right>
      <top style="thin">
        <color indexed="21"/>
      </top>
      <bottom style="thin">
        <color indexed="19"/>
      </bottom>
      <diagonal/>
    </border>
    <border>
      <left style="thin">
        <color indexed="23"/>
      </left>
      <right style="thin">
        <color indexed="23"/>
      </right>
      <top style="thin">
        <color indexed="21"/>
      </top>
      <bottom style="thin">
        <color indexed="19"/>
      </bottom>
      <diagonal/>
    </border>
    <border>
      <left style="thin">
        <color indexed="23"/>
      </left>
      <right style="thin">
        <color indexed="19"/>
      </right>
      <top style="thin">
        <color indexed="21"/>
      </top>
      <bottom style="thin">
        <color indexed="19"/>
      </bottom>
      <diagonal/>
    </border>
    <border>
      <left style="thin">
        <color indexed="19"/>
      </left>
      <right style="thin">
        <color indexed="12"/>
      </right>
      <top style="thin">
        <color indexed="19"/>
      </top>
      <bottom style="thin">
        <color indexed="19"/>
      </bottom>
      <diagonal/>
    </border>
    <border>
      <left style="thin">
        <color indexed="12"/>
      </left>
      <right style="thin">
        <color indexed="23"/>
      </right>
      <top style="thin">
        <color indexed="19"/>
      </top>
      <bottom style="thin">
        <color indexed="19"/>
      </bottom>
      <diagonal/>
    </border>
    <border>
      <left style="thin">
        <color indexed="23"/>
      </left>
      <right style="thin">
        <color indexed="23"/>
      </right>
      <top style="thin">
        <color indexed="19"/>
      </top>
      <bottom style="thin">
        <color indexed="19"/>
      </bottom>
      <diagonal/>
    </border>
    <border>
      <left style="thin">
        <color indexed="23"/>
      </left>
      <right style="thin">
        <color indexed="19"/>
      </right>
      <top style="thin">
        <color indexed="19"/>
      </top>
      <bottom style="thin">
        <color indexed="19"/>
      </bottom>
      <diagonal/>
    </border>
    <border>
      <left style="thin">
        <color indexed="19"/>
      </left>
      <right style="thin">
        <color indexed="12"/>
      </right>
      <top style="thin">
        <color indexed="19"/>
      </top>
      <bottom style="thin">
        <color indexed="21"/>
      </bottom>
      <diagonal/>
    </border>
    <border>
      <left style="thin">
        <color indexed="12"/>
      </left>
      <right style="thin">
        <color indexed="23"/>
      </right>
      <top style="thin">
        <color indexed="19"/>
      </top>
      <bottom style="thin">
        <color indexed="21"/>
      </bottom>
      <diagonal/>
    </border>
    <border>
      <left style="thin">
        <color indexed="23"/>
      </left>
      <right style="thin">
        <color indexed="23"/>
      </right>
      <top style="thin">
        <color indexed="19"/>
      </top>
      <bottom style="thin">
        <color indexed="21"/>
      </bottom>
      <diagonal/>
    </border>
    <border>
      <left style="thin">
        <color indexed="23"/>
      </left>
      <right style="thin">
        <color indexed="19"/>
      </right>
      <top style="thin">
        <color indexed="19"/>
      </top>
      <bottom style="thin">
        <color indexed="21"/>
      </bottom>
      <diagonal/>
    </border>
    <border>
      <left style="thin">
        <color indexed="19"/>
      </left>
      <right style="thin">
        <color indexed="24"/>
      </right>
      <top style="thin">
        <color indexed="21"/>
      </top>
      <bottom style="thin">
        <color indexed="19"/>
      </bottom>
      <diagonal/>
    </border>
    <border>
      <left style="thin">
        <color indexed="27"/>
      </left>
      <right style="thin">
        <color indexed="19"/>
      </right>
      <top style="thin">
        <color indexed="27"/>
      </top>
      <bottom style="thin">
        <color indexed="21"/>
      </bottom>
      <diagonal/>
    </border>
    <border>
      <left style="thin">
        <color indexed="19"/>
      </left>
      <right style="thin">
        <color indexed="28"/>
      </right>
      <top style="thin">
        <color indexed="27"/>
      </top>
      <bottom style="thin">
        <color indexed="21"/>
      </bottom>
      <diagonal/>
    </border>
    <border>
      <left style="thin">
        <color indexed="28"/>
      </left>
      <right style="thin">
        <color indexed="28"/>
      </right>
      <top style="thin">
        <color indexed="27"/>
      </top>
      <bottom style="thin">
        <color indexed="21"/>
      </bottom>
      <diagonal/>
    </border>
    <border>
      <left style="thin">
        <color indexed="28"/>
      </left>
      <right style="thin">
        <color indexed="27"/>
      </right>
      <top style="thin">
        <color indexed="27"/>
      </top>
      <bottom style="thin">
        <color indexed="21"/>
      </bottom>
      <diagonal/>
    </border>
    <border>
      <left style="thin">
        <color indexed="27"/>
      </left>
      <right style="thin">
        <color indexed="19"/>
      </right>
      <top style="thin">
        <color indexed="21"/>
      </top>
      <bottom style="thin">
        <color indexed="27"/>
      </bottom>
      <diagonal/>
    </border>
    <border>
      <left style="thin">
        <color indexed="19"/>
      </left>
      <right style="thin">
        <color indexed="29"/>
      </right>
      <top style="thin">
        <color indexed="21"/>
      </top>
      <bottom style="thin">
        <color indexed="27"/>
      </bottom>
      <diagonal/>
    </border>
    <border>
      <left style="thin">
        <color indexed="29"/>
      </left>
      <right style="thin">
        <color indexed="29"/>
      </right>
      <top style="thin">
        <color indexed="21"/>
      </top>
      <bottom style="thin">
        <color indexed="27"/>
      </bottom>
      <diagonal/>
    </border>
    <border>
      <left style="thin">
        <color indexed="29"/>
      </left>
      <right style="thin">
        <color indexed="27"/>
      </right>
      <top style="thin">
        <color indexed="21"/>
      </top>
      <bottom style="thin">
        <color indexed="27"/>
      </bottom>
      <diagonal/>
    </border>
    <border>
      <left style="thin">
        <color indexed="27"/>
      </left>
      <right style="thin">
        <color indexed="19"/>
      </right>
      <top style="thin">
        <color indexed="27"/>
      </top>
      <bottom style="thin">
        <color indexed="27"/>
      </bottom>
      <diagonal/>
    </border>
    <border>
      <left style="thin">
        <color indexed="19"/>
      </left>
      <right style="thin">
        <color indexed="29"/>
      </right>
      <top style="thin">
        <color indexed="27"/>
      </top>
      <bottom style="thin">
        <color indexed="27"/>
      </bottom>
      <diagonal/>
    </border>
    <border>
      <left style="thin">
        <color indexed="29"/>
      </left>
      <right style="thin">
        <color indexed="29"/>
      </right>
      <top style="thin">
        <color indexed="27"/>
      </top>
      <bottom style="thin">
        <color indexed="27"/>
      </bottom>
      <diagonal/>
    </border>
    <border>
      <left style="thin">
        <color indexed="29"/>
      </left>
      <right style="thin">
        <color indexed="27"/>
      </right>
      <top style="thin">
        <color indexed="27"/>
      </top>
      <bottom style="thin">
        <color indexed="27"/>
      </bottom>
      <diagonal/>
    </border>
    <border>
      <left style="thin">
        <color indexed="19"/>
      </left>
      <right style="thin">
        <color indexed="29"/>
      </right>
      <top style="thin">
        <color indexed="27"/>
      </top>
      <bottom style="thin">
        <color indexed="21"/>
      </bottom>
      <diagonal/>
    </border>
    <border>
      <left style="thin">
        <color indexed="29"/>
      </left>
      <right style="thin">
        <color indexed="29"/>
      </right>
      <top style="thin">
        <color indexed="27"/>
      </top>
      <bottom style="thin">
        <color indexed="21"/>
      </bottom>
      <diagonal/>
    </border>
    <border>
      <left style="thin">
        <color indexed="29"/>
      </left>
      <right style="thin">
        <color indexed="27"/>
      </right>
      <top style="thin">
        <color indexed="27"/>
      </top>
      <bottom style="thin">
        <color indexed="21"/>
      </bottom>
      <diagonal/>
    </border>
    <border>
      <left style="thin">
        <color indexed="19"/>
      </left>
      <right style="thin">
        <color indexed="30"/>
      </right>
      <top style="thin">
        <color indexed="21"/>
      </top>
      <bottom style="thin">
        <color indexed="27"/>
      </bottom>
      <diagonal/>
    </border>
    <border>
      <left style="thin">
        <color indexed="30"/>
      </left>
      <right style="thin">
        <color indexed="30"/>
      </right>
      <top style="thin">
        <color indexed="21"/>
      </top>
      <bottom style="thin">
        <color indexed="27"/>
      </bottom>
      <diagonal/>
    </border>
    <border>
      <left style="thin">
        <color indexed="30"/>
      </left>
      <right style="thin">
        <color indexed="27"/>
      </right>
      <top style="thin">
        <color indexed="21"/>
      </top>
      <bottom style="thin">
        <color indexed="27"/>
      </bottom>
      <diagonal/>
    </border>
    <border>
      <left style="thin">
        <color indexed="12"/>
      </left>
      <right/>
      <top style="thin">
        <color indexed="19"/>
      </top>
      <bottom/>
      <diagonal/>
    </border>
    <border>
      <left/>
      <right/>
      <top style="thin">
        <color indexed="19"/>
      </top>
      <bottom/>
      <diagonal/>
    </border>
    <border>
      <left/>
      <right style="thin">
        <color indexed="12"/>
      </right>
      <top style="thin">
        <color indexed="19"/>
      </top>
      <bottom/>
      <diagonal/>
    </border>
    <border>
      <left/>
      <right style="thin">
        <color indexed="19"/>
      </right>
      <top style="thin">
        <color indexed="19"/>
      </top>
      <bottom/>
      <diagonal/>
    </border>
    <border>
      <left style="thin">
        <color indexed="19"/>
      </left>
      <right style="thin">
        <color indexed="12"/>
      </right>
      <top/>
      <bottom/>
      <diagonal/>
    </border>
    <border>
      <left/>
      <right style="thin">
        <color indexed="19"/>
      </right>
      <top/>
      <bottom/>
      <diagonal/>
    </border>
    <border>
      <left style="thin">
        <color indexed="12"/>
      </left>
      <right/>
      <top/>
      <bottom style="thin">
        <color indexed="19"/>
      </bottom>
      <diagonal/>
    </border>
    <border>
      <left/>
      <right/>
      <top/>
      <bottom style="thin">
        <color indexed="19"/>
      </bottom>
      <diagonal/>
    </border>
    <border>
      <left/>
      <right style="thin">
        <color indexed="19"/>
      </right>
      <top/>
      <bottom style="thin">
        <color indexed="19"/>
      </bottom>
      <diagonal/>
    </border>
    <border>
      <left style="thin">
        <color indexed="12"/>
      </left>
      <right/>
      <top style="thin">
        <color indexed="19"/>
      </top>
      <bottom style="thin">
        <color indexed="12"/>
      </bottom>
      <diagonal/>
    </border>
    <border>
      <left/>
      <right/>
      <top style="thin">
        <color indexed="19"/>
      </top>
      <bottom style="thin">
        <color indexed="12"/>
      </bottom>
      <diagonal/>
    </border>
    <border>
      <left style="thin">
        <color indexed="27"/>
      </left>
      <right/>
      <top style="thin">
        <color indexed="27"/>
      </top>
      <bottom style="thin">
        <color indexed="21"/>
      </bottom>
      <diagonal/>
    </border>
    <border>
      <left/>
      <right/>
      <top style="thin">
        <color indexed="27"/>
      </top>
      <bottom style="thin">
        <color indexed="21"/>
      </bottom>
      <diagonal/>
    </border>
    <border>
      <left/>
      <right style="thin">
        <color indexed="19"/>
      </right>
      <top style="thin">
        <color indexed="27"/>
      </top>
      <bottom style="thin">
        <color indexed="21"/>
      </bottom>
      <diagonal/>
    </border>
    <border>
      <left style="thin">
        <color indexed="27"/>
      </left>
      <right/>
      <top style="thin">
        <color indexed="21"/>
      </top>
      <bottom/>
      <diagonal/>
    </border>
    <border>
      <left/>
      <right/>
      <top style="thin">
        <color indexed="21"/>
      </top>
      <bottom/>
      <diagonal/>
    </border>
    <border>
      <left/>
      <right style="thin">
        <color indexed="19"/>
      </right>
      <top style="thin">
        <color indexed="21"/>
      </top>
      <bottom style="thin">
        <color indexed="27"/>
      </bottom>
      <diagonal/>
    </border>
    <border>
      <left/>
      <right style="thin">
        <color indexed="19"/>
      </right>
      <top style="thin">
        <color indexed="27"/>
      </top>
      <bottom style="thin">
        <color indexed="27"/>
      </bottom>
      <diagonal/>
    </border>
    <border>
      <left/>
      <right/>
      <top/>
      <bottom style="thin">
        <color indexed="26"/>
      </bottom>
      <diagonal/>
    </border>
    <border>
      <left style="thin">
        <color indexed="19"/>
      </left>
      <right style="thin">
        <color indexed="29"/>
      </right>
      <top style="thin">
        <color indexed="27"/>
      </top>
      <bottom style="thin">
        <color indexed="26"/>
      </bottom>
      <diagonal/>
    </border>
    <border>
      <left style="thin">
        <color indexed="29"/>
      </left>
      <right style="thin">
        <color indexed="29"/>
      </right>
      <top style="thin">
        <color indexed="27"/>
      </top>
      <bottom style="thin">
        <color indexed="26"/>
      </bottom>
      <diagonal/>
    </border>
    <border>
      <left style="thin">
        <color indexed="29"/>
      </left>
      <right style="thin">
        <color indexed="27"/>
      </right>
      <top style="thin">
        <color indexed="27"/>
      </top>
      <bottom style="thin">
        <color indexed="26"/>
      </bottom>
      <diagonal/>
    </border>
    <border>
      <left style="thin">
        <color indexed="27"/>
      </left>
      <right/>
      <top/>
      <bottom style="thin">
        <color indexed="21"/>
      </bottom>
      <diagonal/>
    </border>
    <border>
      <left style="thin">
        <color indexed="19"/>
      </left>
      <right style="thin">
        <color indexed="29"/>
      </right>
      <top style="thin">
        <color indexed="26"/>
      </top>
      <bottom style="thin">
        <color indexed="21"/>
      </bottom>
      <diagonal/>
    </border>
    <border>
      <left style="thin">
        <color indexed="29"/>
      </left>
      <right style="thin">
        <color indexed="29"/>
      </right>
      <top style="thin">
        <color indexed="26"/>
      </top>
      <bottom style="thin">
        <color indexed="21"/>
      </bottom>
      <diagonal/>
    </border>
    <border>
      <left style="thin">
        <color indexed="29"/>
      </left>
      <right style="thin">
        <color indexed="27"/>
      </right>
      <top style="thin">
        <color indexed="26"/>
      </top>
      <bottom style="thin">
        <color indexed="21"/>
      </bottom>
      <diagonal/>
    </border>
    <border>
      <left style="thin">
        <color indexed="27"/>
      </left>
      <right/>
      <top style="thin">
        <color indexed="21"/>
      </top>
      <bottom style="thin">
        <color indexed="27"/>
      </bottom>
      <diagonal/>
    </border>
    <border>
      <left/>
      <right/>
      <top/>
      <bottom style="thin">
        <color indexed="26"/>
      </bottom>
      <diagonal/>
    </border>
    <border>
      <left/>
      <right/>
      <top style="thin">
        <color indexed="26"/>
      </top>
      <bottom style="thin">
        <color indexed="12"/>
      </bottom>
      <diagonal/>
    </border>
    <border>
      <left style="thin">
        <color indexed="27"/>
      </left>
      <right/>
      <top/>
      <bottom style="thin">
        <color indexed="26"/>
      </bottom>
      <diagonal/>
    </border>
    <border>
      <left style="thin">
        <color indexed="27"/>
      </left>
      <right/>
      <top style="thin">
        <color indexed="26"/>
      </top>
      <bottom/>
      <diagonal/>
    </border>
    <border>
      <left/>
      <right style="thin">
        <color indexed="19"/>
      </right>
      <top style="thin">
        <color indexed="26"/>
      </top>
      <bottom style="thin">
        <color indexed="27"/>
      </bottom>
      <diagonal/>
    </border>
    <border>
      <left style="thin">
        <color indexed="19"/>
      </left>
      <right style="thin">
        <color indexed="29"/>
      </right>
      <top style="thin">
        <color indexed="26"/>
      </top>
      <bottom style="thin">
        <color indexed="27"/>
      </bottom>
      <diagonal/>
    </border>
    <border>
      <left style="thin">
        <color indexed="29"/>
      </left>
      <right style="thin">
        <color indexed="29"/>
      </right>
      <top style="thin">
        <color indexed="26"/>
      </top>
      <bottom style="thin">
        <color indexed="27"/>
      </bottom>
      <diagonal/>
    </border>
    <border>
      <left style="thin">
        <color indexed="29"/>
      </left>
      <right style="thin">
        <color indexed="27"/>
      </right>
      <top style="thin">
        <color indexed="26"/>
      </top>
      <bottom style="thin">
        <color indexed="27"/>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medium">
        <color indexed="8"/>
      </top>
      <bottom style="medium">
        <color indexed="8"/>
      </bottom>
      <diagonal/>
    </border>
    <border>
      <left style="thin">
        <color indexed="12"/>
      </left>
      <right style="thin">
        <color indexed="12"/>
      </right>
      <top style="medium">
        <color indexed="8"/>
      </top>
      <bottom style="thin">
        <color indexed="12"/>
      </bottom>
      <diagonal/>
    </border>
    <border>
      <left style="thin">
        <color indexed="12"/>
      </left>
      <right style="thin">
        <color indexed="12"/>
      </right>
      <top style="thin">
        <color indexed="12"/>
      </top>
      <bottom style="medium">
        <color indexed="8"/>
      </bottom>
      <diagonal/>
    </border>
    <border>
      <left style="thin">
        <color indexed="21"/>
      </left>
      <right style="thin">
        <color indexed="19"/>
      </right>
      <top style="thin">
        <color indexed="19"/>
      </top>
      <bottom style="thin">
        <color indexed="21"/>
      </bottom>
      <diagonal/>
    </border>
    <border>
      <left style="thin">
        <color indexed="12"/>
      </left>
      <right style="thin">
        <color indexed="19"/>
      </right>
      <top style="thin">
        <color indexed="21"/>
      </top>
      <bottom style="thin">
        <color indexed="19"/>
      </bottom>
      <diagonal/>
    </border>
    <border>
      <left style="thin">
        <color indexed="12"/>
      </left>
      <right style="thin">
        <color indexed="19"/>
      </right>
      <top style="thin">
        <color indexed="19"/>
      </top>
      <bottom style="thin">
        <color indexed="19"/>
      </bottom>
      <diagonal/>
    </border>
    <border>
      <left style="thin">
        <color indexed="12"/>
      </left>
      <right style="thin">
        <color indexed="19"/>
      </right>
      <top style="thin">
        <color indexed="19"/>
      </top>
      <bottom style="thin">
        <color indexed="21"/>
      </bottom>
      <diagonal/>
    </border>
    <border>
      <left style="thin">
        <color indexed="24"/>
      </left>
      <right style="thin">
        <color indexed="19"/>
      </right>
      <top style="thin">
        <color indexed="21"/>
      </top>
      <bottom style="thin">
        <color indexed="19"/>
      </bottom>
      <diagonal/>
    </border>
    <border>
      <left style="thin">
        <color indexed="19"/>
      </left>
      <right/>
      <top/>
      <bottom style="thin">
        <color indexed="12"/>
      </bottom>
      <diagonal/>
    </border>
    <border>
      <left style="thin">
        <color indexed="12"/>
      </left>
      <right/>
      <top style="thin">
        <color indexed="12"/>
      </top>
      <bottom style="thin">
        <color indexed="12"/>
      </bottom>
      <diagonal/>
    </border>
    <border>
      <left/>
      <right style="thin">
        <color indexed="12"/>
      </right>
      <top style="thin">
        <color indexed="12"/>
      </top>
      <bottom style="thin">
        <color indexed="12"/>
      </bottom>
      <diagonal/>
    </border>
    <border>
      <left style="thin">
        <color indexed="8"/>
      </left>
      <right style="thin">
        <color indexed="8"/>
      </right>
      <top style="thin">
        <color indexed="8"/>
      </top>
      <bottom/>
      <diagonal/>
    </border>
    <border>
      <left style="thin">
        <color indexed="12"/>
      </left>
      <right style="thin">
        <color indexed="12"/>
      </right>
      <top/>
      <bottom style="thin">
        <color indexed="12"/>
      </bottom>
      <diagonal/>
    </border>
    <border>
      <left style="thin">
        <color indexed="8"/>
      </left>
      <right style="thin">
        <color indexed="12"/>
      </right>
      <top style="thin">
        <color indexed="12"/>
      </top>
      <bottom style="thin">
        <color indexed="8"/>
      </bottom>
      <diagonal/>
    </border>
  </borders>
  <cellStyleXfs count="1">
    <xf numFmtId="0" fontId="0" fillId="0" borderId="0" applyNumberFormat="0" applyFill="0" applyBorder="0" applyProtection="0"/>
  </cellStyleXfs>
  <cellXfs count="437">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49" fontId="2" fillId="0" borderId="5" xfId="0" applyNumberFormat="1" applyFont="1" applyBorder="1" applyAlignment="1">
      <alignment horizontal="left"/>
    </xf>
    <xf numFmtId="49" fontId="1" fillId="2" borderId="5" xfId="0" applyNumberFormat="1" applyFont="1" applyFill="1" applyBorder="1" applyAlignment="1">
      <alignment horizontal="left"/>
    </xf>
    <xf numFmtId="0" fontId="1" fillId="2" borderId="5" xfId="0" applyFont="1" applyFill="1" applyBorder="1" applyAlignment="1">
      <alignment horizontal="left"/>
    </xf>
    <xf numFmtId="0" fontId="1" fillId="3" borderId="5" xfId="0" applyFont="1" applyFill="1" applyBorder="1" applyAlignment="1">
      <alignment horizontal="left"/>
    </xf>
    <xf numFmtId="49" fontId="1" fillId="3" borderId="5" xfId="0" applyNumberFormat="1" applyFont="1" applyFill="1" applyBorder="1" applyAlignment="1">
      <alignment horizontal="left"/>
    </xf>
    <xf numFmtId="49" fontId="3" fillId="3" borderId="5" xfId="0" applyNumberFormat="1" applyFont="1" applyFill="1" applyBorder="1" applyAlignment="1">
      <alignment horizontal="left"/>
    </xf>
    <xf numFmtId="0" fontId="0" fillId="0" borderId="7" xfId="0" applyBorder="1"/>
    <xf numFmtId="0" fontId="0" fillId="0" borderId="9" xfId="0" applyBorder="1"/>
    <xf numFmtId="0" fontId="0" fillId="4" borderId="10" xfId="0" applyFill="1" applyBorder="1"/>
    <xf numFmtId="49" fontId="4" fillId="4" borderId="10" xfId="0" applyNumberFormat="1" applyFont="1" applyFill="1" applyBorder="1"/>
    <xf numFmtId="0" fontId="4" fillId="4" borderId="10" xfId="0" applyFont="1" applyFill="1" applyBorder="1"/>
    <xf numFmtId="0" fontId="0" fillId="4" borderId="10" xfId="0" applyFill="1" applyBorder="1" applyAlignment="1">
      <alignment horizontal="left"/>
    </xf>
    <xf numFmtId="0" fontId="0" fillId="4" borderId="11" xfId="0" applyFill="1" applyBorder="1" applyAlignment="1">
      <alignment horizontal="left"/>
    </xf>
    <xf numFmtId="49" fontId="0" fillId="4" borderId="10" xfId="0" applyNumberFormat="1" applyFill="1" applyBorder="1"/>
    <xf numFmtId="49" fontId="0" fillId="4" borderId="12" xfId="0" applyNumberFormat="1" applyFill="1" applyBorder="1" applyAlignment="1">
      <alignment horizontal="left"/>
    </xf>
    <xf numFmtId="49" fontId="0" fillId="4" borderId="13" xfId="0" applyNumberFormat="1" applyFill="1" applyBorder="1"/>
    <xf numFmtId="0" fontId="0" fillId="4" borderId="14" xfId="0" applyFill="1" applyBorder="1" applyAlignment="1">
      <alignment horizontal="left"/>
    </xf>
    <xf numFmtId="165" fontId="0" fillId="4" borderId="13" xfId="0" applyNumberFormat="1" applyFill="1" applyBorder="1"/>
    <xf numFmtId="49" fontId="0" fillId="4" borderId="12" xfId="0" applyNumberFormat="1" applyFill="1" applyBorder="1"/>
    <xf numFmtId="166" fontId="0" fillId="4" borderId="13" xfId="0" applyNumberFormat="1" applyFill="1" applyBorder="1"/>
    <xf numFmtId="167" fontId="0" fillId="4" borderId="13" xfId="0" applyNumberFormat="1" applyFill="1" applyBorder="1"/>
    <xf numFmtId="168" fontId="0" fillId="4" borderId="13" xfId="0" applyNumberFormat="1" applyFill="1" applyBorder="1"/>
    <xf numFmtId="49" fontId="6" fillId="4" borderId="13" xfId="0" applyNumberFormat="1" applyFont="1" applyFill="1" applyBorder="1"/>
    <xf numFmtId="0" fontId="0" fillId="4" borderId="15" xfId="0" applyFill="1" applyBorder="1" applyAlignment="1">
      <alignment horizontal="left"/>
    </xf>
    <xf numFmtId="49" fontId="4" fillId="4" borderId="10" xfId="0" applyNumberFormat="1" applyFont="1" applyFill="1" applyBorder="1" applyAlignment="1">
      <alignment horizontal="left"/>
    </xf>
    <xf numFmtId="49" fontId="0" fillId="4" borderId="10" xfId="0" applyNumberFormat="1" applyFill="1" applyBorder="1" applyAlignment="1">
      <alignment horizontal="left"/>
    </xf>
    <xf numFmtId="168" fontId="0" fillId="4" borderId="10" xfId="0" applyNumberFormat="1" applyFill="1" applyBorder="1" applyAlignment="1">
      <alignment horizontal="left"/>
    </xf>
    <xf numFmtId="49" fontId="0" fillId="4" borderId="10" xfId="0" applyNumberFormat="1" applyFill="1" applyBorder="1" applyAlignment="1">
      <alignment horizontal="left" vertical="center"/>
    </xf>
    <xf numFmtId="9" fontId="0" fillId="4" borderId="10" xfId="0" applyNumberFormat="1" applyFill="1" applyBorder="1"/>
    <xf numFmtId="49" fontId="0" fillId="4" borderId="10" xfId="0" applyNumberFormat="1" applyFill="1" applyBorder="1" applyAlignment="1">
      <alignment horizontal="right"/>
    </xf>
    <xf numFmtId="168" fontId="0" fillId="4" borderId="10" xfId="0" applyNumberFormat="1" applyFill="1" applyBorder="1" applyAlignment="1">
      <alignment horizontal="right"/>
    </xf>
    <xf numFmtId="0" fontId="0" fillId="4" borderId="10" xfId="0" applyNumberFormat="1" applyFill="1" applyBorder="1" applyAlignment="1">
      <alignment horizontal="center"/>
    </xf>
    <xf numFmtId="49" fontId="7" fillId="4" borderId="11" xfId="0" applyNumberFormat="1" applyFont="1" applyFill="1" applyBorder="1"/>
    <xf numFmtId="0" fontId="0" fillId="4" borderId="11" xfId="0" applyFill="1" applyBorder="1"/>
    <xf numFmtId="0" fontId="0" fillId="4" borderId="12" xfId="0" applyFill="1" applyBorder="1"/>
    <xf numFmtId="49" fontId="7" fillId="5" borderId="13" xfId="0" applyNumberFormat="1" applyFont="1" applyFill="1" applyBorder="1"/>
    <xf numFmtId="49" fontId="7" fillId="5" borderId="13" xfId="0" applyNumberFormat="1" applyFont="1" applyFill="1" applyBorder="1" applyAlignment="1">
      <alignment horizontal="center" wrapText="1"/>
    </xf>
    <xf numFmtId="0" fontId="7" fillId="4" borderId="14" xfId="0" applyFont="1" applyFill="1" applyBorder="1" applyAlignment="1">
      <alignment horizontal="center"/>
    </xf>
    <xf numFmtId="0" fontId="7" fillId="4" borderId="16" xfId="0" applyFont="1" applyFill="1" applyBorder="1"/>
    <xf numFmtId="0" fontId="7" fillId="4" borderId="16" xfId="0" applyFont="1" applyFill="1" applyBorder="1" applyAlignment="1">
      <alignment horizontal="center" wrapText="1"/>
    </xf>
    <xf numFmtId="0" fontId="7" fillId="4" borderId="16" xfId="0" applyFont="1" applyFill="1" applyBorder="1" applyAlignment="1">
      <alignment horizontal="center"/>
    </xf>
    <xf numFmtId="0" fontId="7" fillId="4" borderId="10" xfId="0" applyFont="1" applyFill="1" applyBorder="1" applyAlignment="1">
      <alignment horizontal="center"/>
    </xf>
    <xf numFmtId="49" fontId="0" fillId="4" borderId="13" xfId="0" applyNumberFormat="1" applyFill="1" applyBorder="1" applyAlignment="1">
      <alignment horizontal="left"/>
    </xf>
    <xf numFmtId="169" fontId="0" fillId="4" borderId="13" xfId="0" applyNumberFormat="1" applyFill="1" applyBorder="1" applyAlignment="1">
      <alignment horizontal="center"/>
    </xf>
    <xf numFmtId="1" fontId="0" fillId="4" borderId="13" xfId="0" applyNumberFormat="1" applyFill="1" applyBorder="1" applyAlignment="1">
      <alignment horizontal="center"/>
    </xf>
    <xf numFmtId="1" fontId="0" fillId="4" borderId="14" xfId="0" applyNumberFormat="1" applyFill="1" applyBorder="1" applyAlignment="1">
      <alignment horizontal="center"/>
    </xf>
    <xf numFmtId="170" fontId="0" fillId="4" borderId="14" xfId="0" applyNumberFormat="1" applyFill="1" applyBorder="1" applyAlignment="1">
      <alignment horizontal="center"/>
    </xf>
    <xf numFmtId="0" fontId="0" fillId="4" borderId="16" xfId="0" applyFill="1" applyBorder="1" applyAlignment="1">
      <alignment horizontal="left"/>
    </xf>
    <xf numFmtId="169" fontId="0" fillId="4" borderId="16" xfId="0" applyNumberFormat="1" applyFill="1" applyBorder="1" applyAlignment="1">
      <alignment horizontal="center"/>
    </xf>
    <xf numFmtId="1" fontId="0" fillId="4" borderId="16" xfId="0" applyNumberFormat="1" applyFill="1" applyBorder="1" applyAlignment="1">
      <alignment horizontal="center"/>
    </xf>
    <xf numFmtId="170" fontId="0" fillId="4" borderId="10" xfId="0" applyNumberFormat="1" applyFill="1" applyBorder="1" applyAlignment="1">
      <alignment horizontal="center"/>
    </xf>
    <xf numFmtId="49" fontId="7" fillId="4" borderId="16" xfId="0" applyNumberFormat="1" applyFont="1" applyFill="1" applyBorder="1"/>
    <xf numFmtId="169" fontId="7" fillId="4" borderId="16" xfId="0" applyNumberFormat="1" applyFont="1" applyFill="1" applyBorder="1" applyAlignment="1">
      <alignment horizontal="center"/>
    </xf>
    <xf numFmtId="1" fontId="7" fillId="4" borderId="16" xfId="0" applyNumberFormat="1" applyFont="1" applyFill="1" applyBorder="1" applyAlignment="1">
      <alignment horizontal="center"/>
    </xf>
    <xf numFmtId="0" fontId="4" fillId="4" borderId="15" xfId="0" applyFont="1" applyFill="1" applyBorder="1" applyAlignment="1">
      <alignment horizontal="left"/>
    </xf>
    <xf numFmtId="49" fontId="4" fillId="4" borderId="11" xfId="0" applyNumberFormat="1" applyFont="1" applyFill="1" applyBorder="1" applyAlignment="1">
      <alignment horizontal="left"/>
    </xf>
    <xf numFmtId="49" fontId="7" fillId="5" borderId="13" xfId="0" applyNumberFormat="1" applyFont="1" applyFill="1" applyBorder="1" applyAlignment="1">
      <alignment horizontal="left" vertical="center"/>
    </xf>
    <xf numFmtId="49" fontId="7" fillId="5" borderId="13" xfId="0" applyNumberFormat="1" applyFont="1" applyFill="1" applyBorder="1" applyAlignment="1">
      <alignment horizontal="center" vertical="center" wrapText="1"/>
    </xf>
    <xf numFmtId="171" fontId="7" fillId="4" borderId="14" xfId="0" applyNumberFormat="1" applyFont="1" applyFill="1" applyBorder="1" applyAlignment="1">
      <alignment horizontal="center" vertical="top" wrapText="1"/>
    </xf>
    <xf numFmtId="171" fontId="7" fillId="4" borderId="10" xfId="0" applyNumberFormat="1" applyFont="1" applyFill="1" applyBorder="1" applyAlignment="1">
      <alignment horizontal="center" vertical="top" wrapText="1"/>
    </xf>
    <xf numFmtId="0" fontId="7" fillId="4" borderId="16" xfId="0" applyFont="1" applyFill="1" applyBorder="1" applyAlignment="1">
      <alignment horizontal="left" vertical="center"/>
    </xf>
    <xf numFmtId="171" fontId="7" fillId="4" borderId="16" xfId="0" applyNumberFormat="1" applyFont="1" applyFill="1" applyBorder="1" applyAlignment="1">
      <alignment horizontal="center" vertical="center" wrapText="1"/>
    </xf>
    <xf numFmtId="17" fontId="0" fillId="4" borderId="13" xfId="0" applyNumberFormat="1" applyFill="1" applyBorder="1" applyAlignment="1">
      <alignment horizontal="center" vertical="center"/>
    </xf>
    <xf numFmtId="172" fontId="0" fillId="4" borderId="13" xfId="0" applyNumberFormat="1" applyFill="1" applyBorder="1" applyAlignment="1">
      <alignment horizontal="center" vertical="top" wrapText="1"/>
    </xf>
    <xf numFmtId="171" fontId="7" fillId="4" borderId="13" xfId="0" applyNumberFormat="1" applyFont="1" applyFill="1" applyBorder="1" applyAlignment="1">
      <alignment horizontal="center" vertical="top" wrapText="1"/>
    </xf>
    <xf numFmtId="172" fontId="0" fillId="4" borderId="14" xfId="0" applyNumberFormat="1" applyFill="1" applyBorder="1" applyAlignment="1">
      <alignment horizontal="center" vertical="top" wrapText="1"/>
    </xf>
    <xf numFmtId="172" fontId="0" fillId="4" borderId="10" xfId="0" applyNumberFormat="1" applyFill="1" applyBorder="1" applyAlignment="1">
      <alignment horizontal="center" vertical="top" wrapText="1"/>
    </xf>
    <xf numFmtId="172" fontId="0" fillId="4" borderId="13" xfId="0" applyNumberFormat="1" applyFill="1" applyBorder="1" applyAlignment="1">
      <alignment horizontal="center"/>
    </xf>
    <xf numFmtId="172" fontId="0" fillId="4" borderId="14" xfId="0" applyNumberFormat="1" applyFill="1" applyBorder="1" applyAlignment="1">
      <alignment horizontal="center"/>
    </xf>
    <xf numFmtId="172" fontId="0" fillId="4" borderId="10" xfId="0" applyNumberFormat="1" applyFill="1" applyBorder="1" applyAlignment="1">
      <alignment horizontal="center"/>
    </xf>
    <xf numFmtId="0" fontId="0" fillId="4" borderId="13" xfId="0" applyFill="1" applyBorder="1" applyAlignment="1">
      <alignment horizontal="right" wrapText="1"/>
    </xf>
    <xf numFmtId="0" fontId="0" fillId="4" borderId="13" xfId="0" applyFill="1" applyBorder="1" applyAlignment="1">
      <alignment horizontal="center" wrapText="1"/>
    </xf>
    <xf numFmtId="169" fontId="7" fillId="4" borderId="13" xfId="0" applyNumberFormat="1" applyFont="1" applyFill="1" applyBorder="1"/>
    <xf numFmtId="0" fontId="0" fillId="4" borderId="14" xfId="0" applyFill="1" applyBorder="1" applyAlignment="1">
      <alignment horizontal="center"/>
    </xf>
    <xf numFmtId="0" fontId="0" fillId="4" borderId="10" xfId="0" applyFill="1" applyBorder="1" applyAlignment="1">
      <alignment horizontal="center"/>
    </xf>
    <xf numFmtId="49" fontId="4" fillId="4" borderId="13" xfId="0" applyNumberFormat="1" applyFont="1" applyFill="1" applyBorder="1" applyAlignment="1">
      <alignment horizontal="left"/>
    </xf>
    <xf numFmtId="0" fontId="0" fillId="4" borderId="14" xfId="0" applyFill="1" applyBorder="1"/>
    <xf numFmtId="0" fontId="0" fillId="4" borderId="10" xfId="0" applyFill="1" applyBorder="1" applyAlignment="1">
      <alignment horizontal="right" wrapText="1"/>
    </xf>
    <xf numFmtId="169" fontId="0" fillId="4" borderId="13" xfId="0" applyNumberFormat="1" applyFill="1" applyBorder="1"/>
    <xf numFmtId="3" fontId="0" fillId="4" borderId="14" xfId="0" applyNumberFormat="1" applyFill="1" applyBorder="1"/>
    <xf numFmtId="169" fontId="0" fillId="4" borderId="10" xfId="0" applyNumberFormat="1" applyFill="1" applyBorder="1"/>
    <xf numFmtId="169" fontId="0" fillId="4" borderId="14" xfId="0" applyNumberFormat="1" applyFill="1" applyBorder="1"/>
    <xf numFmtId="49" fontId="7" fillId="4" borderId="13" xfId="0" applyNumberFormat="1" applyFont="1" applyFill="1" applyBorder="1" applyAlignment="1">
      <alignment horizontal="left"/>
    </xf>
    <xf numFmtId="169" fontId="7" fillId="4" borderId="14" xfId="0" applyNumberFormat="1" applyFont="1" applyFill="1" applyBorder="1"/>
    <xf numFmtId="169" fontId="7" fillId="4" borderId="10" xfId="0" applyNumberFormat="1" applyFont="1" applyFill="1" applyBorder="1"/>
    <xf numFmtId="49" fontId="8" fillId="6" borderId="13" xfId="0" applyNumberFormat="1" applyFont="1" applyFill="1" applyBorder="1" applyAlignment="1">
      <alignment horizontal="center" wrapText="1" readingOrder="1"/>
    </xf>
    <xf numFmtId="0" fontId="6" fillId="6" borderId="13" xfId="0" applyFont="1" applyFill="1" applyBorder="1" applyAlignment="1">
      <alignment horizontal="left" wrapText="1" readingOrder="1"/>
    </xf>
    <xf numFmtId="0" fontId="6" fillId="6" borderId="13" xfId="0" applyFont="1" applyFill="1" applyBorder="1" applyAlignment="1">
      <alignment horizontal="center" wrapText="1" readingOrder="1"/>
    </xf>
    <xf numFmtId="0" fontId="0" fillId="4" borderId="10" xfId="0" applyFill="1" applyBorder="1" applyAlignment="1">
      <alignment wrapText="1"/>
    </xf>
    <xf numFmtId="0" fontId="0" fillId="4" borderId="15" xfId="0" applyFill="1" applyBorder="1"/>
    <xf numFmtId="49" fontId="9" fillId="7" borderId="13" xfId="0" applyNumberFormat="1" applyFont="1" applyFill="1" applyBorder="1"/>
    <xf numFmtId="49" fontId="9" fillId="7" borderId="19" xfId="0" applyNumberFormat="1" applyFont="1" applyFill="1" applyBorder="1"/>
    <xf numFmtId="49" fontId="9" fillId="7" borderId="13" xfId="0" applyNumberFormat="1" applyFont="1" applyFill="1" applyBorder="1" applyAlignment="1">
      <alignment horizontal="center"/>
    </xf>
    <xf numFmtId="49" fontId="9" fillId="7" borderId="13" xfId="0" applyNumberFormat="1" applyFont="1" applyFill="1" applyBorder="1" applyAlignment="1">
      <alignment wrapText="1"/>
    </xf>
    <xf numFmtId="0" fontId="0" fillId="4" borderId="20" xfId="0" applyNumberFormat="1" applyFill="1" applyBorder="1"/>
    <xf numFmtId="49" fontId="10" fillId="4" borderId="21" xfId="0" applyNumberFormat="1" applyFont="1" applyFill="1" applyBorder="1" applyAlignment="1">
      <alignment horizontal="center" vertical="center"/>
    </xf>
    <xf numFmtId="49" fontId="10" fillId="4" borderId="22" xfId="0" applyNumberFormat="1" applyFont="1" applyFill="1" applyBorder="1" applyAlignment="1">
      <alignment horizontal="center" vertical="center"/>
    </xf>
    <xf numFmtId="0" fontId="0" fillId="4" borderId="17" xfId="0" applyFill="1" applyBorder="1"/>
    <xf numFmtId="0" fontId="0" fillId="4" borderId="16" xfId="0" applyFill="1" applyBorder="1"/>
    <xf numFmtId="0" fontId="0" fillId="4" borderId="18" xfId="0" applyFill="1" applyBorder="1"/>
    <xf numFmtId="2" fontId="10" fillId="4" borderId="23" xfId="0" applyNumberFormat="1" applyFont="1" applyFill="1" applyBorder="1" applyAlignment="1">
      <alignment horizontal="center" vertical="center"/>
    </xf>
    <xf numFmtId="0" fontId="0" fillId="4" borderId="24" xfId="0" applyFill="1" applyBorder="1"/>
    <xf numFmtId="0" fontId="0" fillId="4" borderId="25" xfId="0" applyNumberFormat="1" applyFill="1" applyBorder="1"/>
    <xf numFmtId="49" fontId="0" fillId="4" borderId="26" xfId="0" applyNumberFormat="1" applyFill="1" applyBorder="1"/>
    <xf numFmtId="49" fontId="10" fillId="4" borderId="27" xfId="0" applyNumberFormat="1" applyFont="1" applyFill="1" applyBorder="1" applyAlignment="1">
      <alignment horizontal="center" vertical="center"/>
    </xf>
    <xf numFmtId="14" fontId="0" fillId="4" borderId="13" xfId="0" applyNumberFormat="1" applyFill="1" applyBorder="1"/>
    <xf numFmtId="49" fontId="0" fillId="4" borderId="28" xfId="0" applyNumberFormat="1" applyFill="1" applyBorder="1"/>
    <xf numFmtId="0" fontId="0" fillId="4" borderId="29" xfId="0" applyNumberFormat="1" applyFill="1" applyBorder="1"/>
    <xf numFmtId="2" fontId="10" fillId="4" borderId="13" xfId="0" applyNumberFormat="1" applyFont="1" applyFill="1" applyBorder="1" applyAlignment="1">
      <alignment horizontal="center" vertical="center"/>
    </xf>
    <xf numFmtId="174" fontId="0" fillId="4" borderId="28" xfId="0" applyNumberFormat="1" applyFill="1" applyBorder="1"/>
    <xf numFmtId="169" fontId="0" fillId="4" borderId="15" xfId="0" applyNumberFormat="1" applyFill="1" applyBorder="1"/>
    <xf numFmtId="0" fontId="0" fillId="4" borderId="30" xfId="0" applyNumberFormat="1" applyFill="1" applyBorder="1"/>
    <xf numFmtId="49" fontId="0" fillId="4" borderId="31" xfId="0" applyNumberFormat="1" applyFill="1" applyBorder="1"/>
    <xf numFmtId="49" fontId="10" fillId="4" borderId="13" xfId="0" applyNumberFormat="1" applyFont="1" applyFill="1" applyBorder="1" applyAlignment="1">
      <alignment horizontal="center" vertical="center"/>
    </xf>
    <xf numFmtId="49" fontId="10" fillId="4" borderId="13" xfId="0" applyNumberFormat="1" applyFont="1" applyFill="1" applyBorder="1" applyAlignment="1">
      <alignment horizontal="center"/>
    </xf>
    <xf numFmtId="49" fontId="0" fillId="4" borderId="14" xfId="0" applyNumberFormat="1" applyFill="1" applyBorder="1"/>
    <xf numFmtId="0" fontId="0" fillId="4" borderId="12" xfId="0" applyNumberFormat="1" applyFill="1" applyBorder="1"/>
    <xf numFmtId="174" fontId="0" fillId="4" borderId="14" xfId="0" applyNumberFormat="1" applyFill="1" applyBorder="1"/>
    <xf numFmtId="49" fontId="10" fillId="4" borderId="13" xfId="0" applyNumberFormat="1" applyFont="1" applyFill="1" applyBorder="1" applyAlignment="1">
      <alignment horizontal="center" vertical="top"/>
    </xf>
    <xf numFmtId="49" fontId="10" fillId="4" borderId="19" xfId="0" applyNumberFormat="1" applyFont="1" applyFill="1" applyBorder="1" applyAlignment="1">
      <alignment horizontal="center" vertical="center"/>
    </xf>
    <xf numFmtId="49" fontId="10" fillId="4" borderId="22" xfId="0" applyNumberFormat="1" applyFont="1" applyFill="1" applyBorder="1" applyAlignment="1">
      <alignment horizontal="center" vertical="top"/>
    </xf>
    <xf numFmtId="49" fontId="7" fillId="4" borderId="13" xfId="0" applyNumberFormat="1" applyFont="1" applyFill="1" applyBorder="1" applyAlignment="1">
      <alignment horizontal="center"/>
    </xf>
    <xf numFmtId="0" fontId="0" fillId="4" borderId="13" xfId="0" applyNumberFormat="1" applyFill="1" applyBorder="1" applyAlignment="1">
      <alignment horizontal="center"/>
    </xf>
    <xf numFmtId="0" fontId="0" fillId="4" borderId="13" xfId="0" applyFill="1" applyBorder="1"/>
    <xf numFmtId="0" fontId="0" fillId="4" borderId="13" xfId="0" applyFill="1" applyBorder="1" applyAlignment="1">
      <alignment horizontal="center"/>
    </xf>
    <xf numFmtId="10" fontId="0" fillId="4" borderId="13" xfId="0" applyNumberFormat="1" applyFill="1" applyBorder="1"/>
    <xf numFmtId="0" fontId="7" fillId="4" borderId="13" xfId="0" applyNumberFormat="1" applyFont="1" applyFill="1" applyBorder="1" applyAlignment="1">
      <alignment horizontal="center"/>
    </xf>
    <xf numFmtId="10" fontId="7" fillId="4" borderId="13" xfId="0" applyNumberFormat="1" applyFont="1" applyFill="1" applyBorder="1"/>
    <xf numFmtId="49" fontId="11" fillId="4" borderId="13" xfId="0" applyNumberFormat="1" applyFont="1" applyFill="1" applyBorder="1" applyAlignment="1">
      <alignment horizontal="center" vertical="center"/>
    </xf>
    <xf numFmtId="49" fontId="11" fillId="4" borderId="13" xfId="0" applyNumberFormat="1" applyFont="1" applyFill="1" applyBorder="1" applyAlignment="1">
      <alignment vertical="center"/>
    </xf>
    <xf numFmtId="49" fontId="11" fillId="4" borderId="13" xfId="0" applyNumberFormat="1" applyFont="1" applyFill="1" applyBorder="1" applyAlignment="1">
      <alignment horizontal="center"/>
    </xf>
    <xf numFmtId="0" fontId="12" fillId="4" borderId="13" xfId="0" applyFont="1" applyFill="1" applyBorder="1" applyAlignment="1">
      <alignment horizontal="center" vertical="center"/>
    </xf>
    <xf numFmtId="0" fontId="0" fillId="4" borderId="13" xfId="0" applyFill="1" applyBorder="1" applyAlignment="1">
      <alignment vertical="center"/>
    </xf>
    <xf numFmtId="49" fontId="12" fillId="4" borderId="13" xfId="0" applyNumberFormat="1" applyFont="1" applyFill="1" applyBorder="1" applyAlignment="1">
      <alignment horizontal="center" vertical="center"/>
    </xf>
    <xf numFmtId="0" fontId="12" fillId="4" borderId="13" xfId="0" applyNumberFormat="1" applyFont="1" applyFill="1" applyBorder="1" applyAlignment="1">
      <alignment horizontal="center" vertical="center"/>
    </xf>
    <xf numFmtId="3" fontId="12" fillId="4" borderId="13" xfId="0" applyNumberFormat="1" applyFont="1" applyFill="1" applyBorder="1" applyAlignment="1">
      <alignment horizontal="center" vertical="center"/>
    </xf>
    <xf numFmtId="168" fontId="12" fillId="4" borderId="13" xfId="0" applyNumberFormat="1" applyFont="1" applyFill="1" applyBorder="1" applyAlignment="1">
      <alignment horizontal="center" vertical="center"/>
    </xf>
    <xf numFmtId="0" fontId="0" fillId="4" borderId="13" xfId="0" applyFill="1" applyBorder="1" applyAlignment="1">
      <alignment wrapText="1"/>
    </xf>
    <xf numFmtId="0" fontId="11" fillId="4" borderId="13" xfId="0" applyFont="1" applyFill="1" applyBorder="1" applyAlignment="1">
      <alignment horizontal="center" vertical="center"/>
    </xf>
    <xf numFmtId="0" fontId="11" fillId="4" borderId="13" xfId="0" applyFont="1" applyFill="1" applyBorder="1" applyAlignment="1">
      <alignment vertical="center"/>
    </xf>
    <xf numFmtId="3" fontId="11" fillId="4" borderId="13" xfId="0" applyNumberFormat="1" applyFont="1" applyFill="1" applyBorder="1" applyAlignment="1">
      <alignment horizontal="center" vertical="center"/>
    </xf>
    <xf numFmtId="168" fontId="11" fillId="4" borderId="13" xfId="0" applyNumberFormat="1" applyFont="1" applyFill="1" applyBorder="1" applyAlignment="1">
      <alignment horizontal="center" vertical="center"/>
    </xf>
    <xf numFmtId="175" fontId="0" fillId="4" borderId="15" xfId="0" applyNumberFormat="1" applyFill="1" applyBorder="1"/>
    <xf numFmtId="3" fontId="0" fillId="4" borderId="10" xfId="0" applyNumberFormat="1" applyFill="1" applyBorder="1"/>
    <xf numFmtId="175" fontId="0" fillId="4" borderId="10" xfId="0" applyNumberFormat="1" applyFill="1" applyBorder="1"/>
    <xf numFmtId="49" fontId="7" fillId="4" borderId="13" xfId="0" applyNumberFormat="1" applyFont="1" applyFill="1" applyBorder="1" applyAlignment="1">
      <alignment wrapText="1"/>
    </xf>
    <xf numFmtId="49" fontId="13" fillId="4" borderId="13" xfId="0" applyNumberFormat="1" applyFont="1" applyFill="1" applyBorder="1" applyAlignment="1">
      <alignment horizontal="center" vertical="center" wrapText="1"/>
    </xf>
    <xf numFmtId="0" fontId="13" fillId="4" borderId="13" xfId="0" applyNumberFormat="1" applyFont="1" applyFill="1" applyBorder="1" applyAlignment="1">
      <alignment horizontal="center" vertical="center" wrapText="1"/>
    </xf>
    <xf numFmtId="0" fontId="14" fillId="4" borderId="13" xfId="0" applyFont="1" applyFill="1" applyBorder="1" applyAlignment="1">
      <alignment vertical="center" wrapText="1"/>
    </xf>
    <xf numFmtId="0" fontId="14" fillId="4" borderId="13" xfId="0" applyFont="1" applyFill="1" applyBorder="1" applyAlignment="1">
      <alignment horizontal="center" vertical="center" wrapText="1"/>
    </xf>
    <xf numFmtId="17" fontId="14" fillId="4" borderId="13" xfId="0" applyNumberFormat="1" applyFont="1" applyFill="1" applyBorder="1" applyAlignment="1">
      <alignment vertical="center" wrapText="1"/>
    </xf>
    <xf numFmtId="9" fontId="14" fillId="4" borderId="13" xfId="0" applyNumberFormat="1" applyFont="1" applyFill="1" applyBorder="1" applyAlignment="1">
      <alignment vertical="center" wrapText="1"/>
    </xf>
    <xf numFmtId="1" fontId="14" fillId="4" borderId="13" xfId="0" applyNumberFormat="1" applyFont="1" applyFill="1" applyBorder="1" applyAlignment="1">
      <alignment horizontal="right"/>
    </xf>
    <xf numFmtId="1" fontId="14" fillId="4" borderId="13" xfId="0" applyNumberFormat="1" applyFont="1" applyFill="1" applyBorder="1" applyAlignment="1">
      <alignment horizontal="center" vertical="center" wrapText="1"/>
    </xf>
    <xf numFmtId="0" fontId="12" fillId="4" borderId="13" xfId="0" applyFont="1" applyFill="1" applyBorder="1" applyAlignment="1">
      <alignment horizontal="center" vertical="center" wrapText="1"/>
    </xf>
    <xf numFmtId="168" fontId="14" fillId="4" borderId="13" xfId="0" applyNumberFormat="1" applyFont="1" applyFill="1" applyBorder="1" applyAlignment="1">
      <alignment horizontal="center" vertical="center" wrapText="1"/>
    </xf>
    <xf numFmtId="2" fontId="14" fillId="4" borderId="13" xfId="0" applyNumberFormat="1" applyFont="1" applyFill="1" applyBorder="1" applyAlignment="1">
      <alignment horizontal="right"/>
    </xf>
    <xf numFmtId="0" fontId="13" fillId="4" borderId="13" xfId="0" applyFont="1" applyFill="1" applyBorder="1"/>
    <xf numFmtId="0" fontId="13" fillId="4" borderId="13" xfId="0" applyFont="1" applyFill="1" applyBorder="1" applyAlignment="1">
      <alignment horizontal="center"/>
    </xf>
    <xf numFmtId="169" fontId="13" fillId="4" borderId="13" xfId="0" applyNumberFormat="1" applyFont="1" applyFill="1" applyBorder="1"/>
    <xf numFmtId="168" fontId="13" fillId="4" borderId="13" xfId="0" applyNumberFormat="1" applyFont="1" applyFill="1" applyBorder="1"/>
    <xf numFmtId="49" fontId="8" fillId="4" borderId="13" xfId="0" applyNumberFormat="1" applyFont="1" applyFill="1" applyBorder="1" applyAlignment="1">
      <alignment horizontal="center"/>
    </xf>
    <xf numFmtId="0" fontId="0" fillId="4" borderId="13" xfId="0" applyNumberFormat="1" applyFill="1" applyBorder="1"/>
    <xf numFmtId="0" fontId="8" fillId="4" borderId="13" xfId="0" applyFont="1" applyFill="1" applyBorder="1"/>
    <xf numFmtId="168" fontId="8" fillId="4" borderId="13" xfId="0" applyNumberFormat="1" applyFont="1" applyFill="1" applyBorder="1"/>
    <xf numFmtId="0" fontId="0" fillId="4" borderId="35" xfId="0" applyFill="1" applyBorder="1"/>
    <xf numFmtId="49" fontId="0" fillId="4" borderId="13" xfId="0" applyNumberFormat="1" applyFill="1" applyBorder="1" applyAlignment="1">
      <alignment wrapText="1"/>
    </xf>
    <xf numFmtId="49" fontId="15" fillId="4" borderId="13" xfId="0" applyNumberFormat="1" applyFont="1" applyFill="1" applyBorder="1" applyAlignment="1">
      <alignment horizontal="left" vertical="center"/>
    </xf>
    <xf numFmtId="168" fontId="15" fillId="4" borderId="13" xfId="0" applyNumberFormat="1" applyFont="1" applyFill="1" applyBorder="1" applyAlignment="1">
      <alignment horizontal="center" vertical="center" wrapText="1"/>
    </xf>
    <xf numFmtId="168" fontId="0" fillId="4" borderId="14" xfId="0" applyNumberFormat="1" applyFill="1" applyBorder="1"/>
    <xf numFmtId="49" fontId="15" fillId="4" borderId="13" xfId="0" applyNumberFormat="1" applyFont="1" applyFill="1" applyBorder="1" applyAlignment="1">
      <alignment horizontal="right" vertical="center"/>
    </xf>
    <xf numFmtId="49" fontId="15" fillId="4" borderId="13" xfId="0" applyNumberFormat="1" applyFont="1" applyFill="1" applyBorder="1" applyAlignment="1">
      <alignment horizontal="center"/>
    </xf>
    <xf numFmtId="168" fontId="15" fillId="4" borderId="13" xfId="0" applyNumberFormat="1" applyFont="1" applyFill="1" applyBorder="1" applyAlignment="1">
      <alignment horizontal="center"/>
    </xf>
    <xf numFmtId="168" fontId="0" fillId="4" borderId="15" xfId="0" applyNumberFormat="1" applyFill="1" applyBorder="1"/>
    <xf numFmtId="168" fontId="0" fillId="4" borderId="10" xfId="0" applyNumberFormat="1" applyFill="1" applyBorder="1"/>
    <xf numFmtId="49" fontId="7" fillId="8" borderId="42" xfId="0" applyNumberFormat="1" applyFont="1" applyFill="1" applyBorder="1"/>
    <xf numFmtId="49" fontId="7" fillId="8" borderId="43" xfId="0" applyNumberFormat="1" applyFont="1" applyFill="1" applyBorder="1"/>
    <xf numFmtId="49" fontId="7" fillId="8" borderId="44" xfId="0" applyNumberFormat="1" applyFont="1" applyFill="1" applyBorder="1"/>
    <xf numFmtId="49" fontId="7" fillId="8" borderId="45" xfId="0" applyNumberFormat="1" applyFont="1" applyFill="1" applyBorder="1"/>
    <xf numFmtId="49" fontId="7" fillId="8" borderId="46" xfId="0" applyNumberFormat="1" applyFont="1" applyFill="1" applyBorder="1"/>
    <xf numFmtId="49" fontId="7" fillId="8" borderId="47" xfId="0" applyNumberFormat="1" applyFont="1" applyFill="1" applyBorder="1"/>
    <xf numFmtId="176" fontId="7" fillId="4" borderId="48" xfId="0" applyNumberFormat="1" applyFont="1" applyFill="1" applyBorder="1"/>
    <xf numFmtId="177" fontId="7" fillId="4" borderId="49" xfId="0" applyNumberFormat="1" applyFont="1" applyFill="1" applyBorder="1"/>
    <xf numFmtId="178" fontId="7" fillId="4" borderId="50" xfId="0" applyNumberFormat="1" applyFont="1" applyFill="1" applyBorder="1"/>
    <xf numFmtId="0" fontId="7" fillId="4" borderId="51" xfId="0" applyNumberFormat="1" applyFont="1" applyFill="1" applyBorder="1"/>
    <xf numFmtId="0" fontId="7" fillId="4" borderId="52" xfId="0" applyNumberFormat="1" applyFont="1" applyFill="1" applyBorder="1"/>
    <xf numFmtId="0" fontId="7" fillId="4" borderId="53" xfId="0" applyNumberFormat="1" applyFont="1" applyFill="1" applyBorder="1"/>
    <xf numFmtId="0" fontId="7" fillId="4" borderId="48" xfId="0" applyFont="1" applyFill="1" applyBorder="1"/>
    <xf numFmtId="0" fontId="7" fillId="4" borderId="49" xfId="0" applyFont="1" applyFill="1" applyBorder="1"/>
    <xf numFmtId="0" fontId="7" fillId="4" borderId="50" xfId="0" applyFont="1" applyFill="1" applyBorder="1"/>
    <xf numFmtId="49" fontId="7" fillId="8" borderId="54" xfId="0" applyNumberFormat="1" applyFont="1" applyFill="1" applyBorder="1"/>
    <xf numFmtId="0" fontId="7" fillId="8" borderId="55" xfId="0" applyFont="1" applyFill="1" applyBorder="1"/>
    <xf numFmtId="0" fontId="7" fillId="8" borderId="56" xfId="0" applyFont="1" applyFill="1" applyBorder="1"/>
    <xf numFmtId="0" fontId="7" fillId="8" borderId="57" xfId="0" applyNumberFormat="1" applyFont="1" applyFill="1" applyBorder="1"/>
    <xf numFmtId="0" fontId="7" fillId="8" borderId="58" xfId="0" applyNumberFormat="1" applyFont="1" applyFill="1" applyBorder="1"/>
    <xf numFmtId="0" fontId="7" fillId="8" borderId="59" xfId="0" applyNumberFormat="1" applyFont="1" applyFill="1" applyBorder="1"/>
    <xf numFmtId="176" fontId="7" fillId="4" borderId="60" xfId="0" applyNumberFormat="1" applyFont="1" applyFill="1" applyBorder="1"/>
    <xf numFmtId="0" fontId="7" fillId="4" borderId="61" xfId="0" applyFont="1" applyFill="1" applyBorder="1"/>
    <xf numFmtId="0" fontId="7" fillId="4" borderId="62" xfId="0" applyFont="1" applyFill="1" applyBorder="1"/>
    <xf numFmtId="0" fontId="7" fillId="4" borderId="63" xfId="0" applyNumberFormat="1" applyFont="1" applyFill="1" applyBorder="1"/>
    <xf numFmtId="0" fontId="7" fillId="4" borderId="64" xfId="0" applyNumberFormat="1" applyFont="1" applyFill="1" applyBorder="1"/>
    <xf numFmtId="0" fontId="7" fillId="4" borderId="65" xfId="0" applyNumberFormat="1" applyFont="1" applyFill="1" applyBorder="1"/>
    <xf numFmtId="176" fontId="7" fillId="4" borderId="66" xfId="0" applyNumberFormat="1" applyFont="1" applyFill="1" applyBorder="1"/>
    <xf numFmtId="177" fontId="7" fillId="4" borderId="67" xfId="0" applyNumberFormat="1" applyFont="1" applyFill="1" applyBorder="1"/>
    <xf numFmtId="178" fontId="7" fillId="4" borderId="68" xfId="0" applyNumberFormat="1" applyFont="1" applyFill="1" applyBorder="1"/>
    <xf numFmtId="0" fontId="7" fillId="4" borderId="69" xfId="0" applyNumberFormat="1" applyFont="1" applyFill="1" applyBorder="1"/>
    <xf numFmtId="0" fontId="7" fillId="4" borderId="70" xfId="0" applyNumberFormat="1" applyFont="1" applyFill="1" applyBorder="1"/>
    <xf numFmtId="0" fontId="7" fillId="4" borderId="71" xfId="0" applyNumberFormat="1" applyFont="1" applyFill="1" applyBorder="1"/>
    <xf numFmtId="0" fontId="7" fillId="4" borderId="66" xfId="0" applyFont="1" applyFill="1" applyBorder="1"/>
    <xf numFmtId="0" fontId="7" fillId="4" borderId="67" xfId="0" applyFont="1" applyFill="1" applyBorder="1"/>
    <xf numFmtId="0" fontId="7" fillId="4" borderId="68" xfId="0" applyFont="1" applyFill="1" applyBorder="1"/>
    <xf numFmtId="0" fontId="7" fillId="4" borderId="72" xfId="0" applyFont="1" applyFill="1" applyBorder="1"/>
    <xf numFmtId="0" fontId="7" fillId="4" borderId="73" xfId="0" applyFont="1" applyFill="1" applyBorder="1"/>
    <xf numFmtId="176" fontId="7" fillId="4" borderId="74" xfId="0" applyNumberFormat="1" applyFont="1" applyFill="1" applyBorder="1"/>
    <xf numFmtId="176" fontId="7" fillId="4" borderId="75" xfId="0" applyNumberFormat="1" applyFont="1" applyFill="1" applyBorder="1"/>
    <xf numFmtId="0" fontId="7" fillId="4" borderId="76" xfId="0" applyFont="1" applyFill="1" applyBorder="1"/>
    <xf numFmtId="0" fontId="7" fillId="4" borderId="77" xfId="0" applyFont="1" applyFill="1" applyBorder="1"/>
    <xf numFmtId="0" fontId="7" fillId="4" borderId="78" xfId="0" applyNumberFormat="1" applyFont="1" applyFill="1" applyBorder="1"/>
    <xf numFmtId="0" fontId="7" fillId="4" borderId="79" xfId="0" applyNumberFormat="1" applyFont="1" applyFill="1" applyBorder="1"/>
    <xf numFmtId="0" fontId="7" fillId="4" borderId="80" xfId="0" applyNumberFormat="1" applyFont="1" applyFill="1" applyBorder="1"/>
    <xf numFmtId="176" fontId="7" fillId="4" borderId="81" xfId="0" applyNumberFormat="1" applyFont="1" applyFill="1" applyBorder="1"/>
    <xf numFmtId="49" fontId="7" fillId="8" borderId="82" xfId="0" applyNumberFormat="1" applyFont="1" applyFill="1" applyBorder="1"/>
    <xf numFmtId="49" fontId="7" fillId="4" borderId="83" xfId="0" applyNumberFormat="1" applyFont="1" applyFill="1" applyBorder="1"/>
    <xf numFmtId="0" fontId="7" fillId="4" borderId="84" xfId="0" applyNumberFormat="1" applyFont="1" applyFill="1" applyBorder="1"/>
    <xf numFmtId="0" fontId="7" fillId="4" borderId="85" xfId="0" applyNumberFormat="1" applyFont="1" applyFill="1" applyBorder="1"/>
    <xf numFmtId="0" fontId="7" fillId="4" borderId="86" xfId="0" applyNumberFormat="1" applyFont="1" applyFill="1" applyBorder="1"/>
    <xf numFmtId="49" fontId="7" fillId="4" borderId="87" xfId="0" applyNumberFormat="1" applyFont="1" applyFill="1" applyBorder="1"/>
    <xf numFmtId="0" fontId="7" fillId="4" borderId="88" xfId="0" applyNumberFormat="1" applyFont="1" applyFill="1" applyBorder="1"/>
    <xf numFmtId="0" fontId="7" fillId="4" borderId="89" xfId="0" applyNumberFormat="1" applyFont="1" applyFill="1" applyBorder="1"/>
    <xf numFmtId="0" fontId="7" fillId="4" borderId="90" xfId="0" applyNumberFormat="1" applyFont="1" applyFill="1" applyBorder="1"/>
    <xf numFmtId="49" fontId="7" fillId="4" borderId="91" xfId="0" applyNumberFormat="1" applyFont="1" applyFill="1" applyBorder="1"/>
    <xf numFmtId="0" fontId="7" fillId="4" borderId="92" xfId="0" applyNumberFormat="1" applyFont="1" applyFill="1" applyBorder="1"/>
    <xf numFmtId="0" fontId="7" fillId="4" borderId="93" xfId="0" applyNumberFormat="1" applyFont="1" applyFill="1" applyBorder="1"/>
    <xf numFmtId="0" fontId="7" fillId="4" borderId="94" xfId="0" applyNumberFormat="1" applyFont="1" applyFill="1" applyBorder="1"/>
    <xf numFmtId="49" fontId="7" fillId="8" borderId="95" xfId="0" applyNumberFormat="1" applyFont="1" applyFill="1" applyBorder="1"/>
    <xf numFmtId="2" fontId="0" fillId="4" borderId="10" xfId="0" applyNumberFormat="1" applyFill="1" applyBorder="1"/>
    <xf numFmtId="49" fontId="7" fillId="8" borderId="96" xfId="0" applyNumberFormat="1" applyFont="1" applyFill="1" applyBorder="1"/>
    <xf numFmtId="49" fontId="7" fillId="8" borderId="97" xfId="0" applyNumberFormat="1" applyFont="1" applyFill="1" applyBorder="1"/>
    <xf numFmtId="49" fontId="7" fillId="8" borderId="98" xfId="0" applyNumberFormat="1" applyFont="1" applyFill="1" applyBorder="1"/>
    <xf numFmtId="49" fontId="7" fillId="8" borderId="99" xfId="0" applyNumberFormat="1" applyFont="1" applyFill="1" applyBorder="1"/>
    <xf numFmtId="49" fontId="7" fillId="4" borderId="100" xfId="0" applyNumberFormat="1" applyFont="1" applyFill="1" applyBorder="1"/>
    <xf numFmtId="0" fontId="7" fillId="4" borderId="101" xfId="0" applyNumberFormat="1" applyFont="1" applyFill="1" applyBorder="1"/>
    <xf numFmtId="0" fontId="7" fillId="4" borderId="102" xfId="0" applyNumberFormat="1" applyFont="1" applyFill="1" applyBorder="1"/>
    <xf numFmtId="0" fontId="7" fillId="4" borderId="103" xfId="0" applyNumberFormat="1" applyFont="1" applyFill="1" applyBorder="1"/>
    <xf numFmtId="49" fontId="7" fillId="4" borderId="104" xfId="0" applyNumberFormat="1" applyFont="1" applyFill="1" applyBorder="1"/>
    <xf numFmtId="0" fontId="7" fillId="4" borderId="105" xfId="0" applyNumberFormat="1" applyFont="1" applyFill="1" applyBorder="1"/>
    <xf numFmtId="0" fontId="7" fillId="4" borderId="106" xfId="0" applyNumberFormat="1" applyFont="1" applyFill="1" applyBorder="1"/>
    <xf numFmtId="0" fontId="7" fillId="4" borderId="107" xfId="0" applyNumberFormat="1" applyFont="1" applyFill="1" applyBorder="1"/>
    <xf numFmtId="49" fontId="7" fillId="4" borderId="96" xfId="0" applyNumberFormat="1" applyFont="1" applyFill="1" applyBorder="1"/>
    <xf numFmtId="0" fontId="7" fillId="4" borderId="108" xfId="0" applyNumberFormat="1" applyFont="1" applyFill="1" applyBorder="1"/>
    <xf numFmtId="0" fontId="7" fillId="4" borderId="109" xfId="0" applyNumberFormat="1" applyFont="1" applyFill="1" applyBorder="1"/>
    <xf numFmtId="0" fontId="7" fillId="4" borderId="110" xfId="0" applyNumberFormat="1" applyFont="1" applyFill="1" applyBorder="1"/>
    <xf numFmtId="49" fontId="7" fillId="8" borderId="100" xfId="0" applyNumberFormat="1" applyFont="1" applyFill="1" applyBorder="1"/>
    <xf numFmtId="0" fontId="7" fillId="8" borderId="111" xfId="0" applyNumberFormat="1" applyFont="1" applyFill="1" applyBorder="1"/>
    <xf numFmtId="0" fontId="7" fillId="8" borderId="112" xfId="0" applyNumberFormat="1" applyFont="1" applyFill="1" applyBorder="1"/>
    <xf numFmtId="0" fontId="7" fillId="8" borderId="113" xfId="0" applyNumberFormat="1" applyFont="1" applyFill="1" applyBorder="1"/>
    <xf numFmtId="0" fontId="0" fillId="4" borderId="114" xfId="0" applyFill="1" applyBorder="1"/>
    <xf numFmtId="0" fontId="0" fillId="4" borderId="115" xfId="0" applyFill="1" applyBorder="1"/>
    <xf numFmtId="0" fontId="0" fillId="4" borderId="116" xfId="0" applyFill="1" applyBorder="1"/>
    <xf numFmtId="0" fontId="0" fillId="4" borderId="7" xfId="0" applyFill="1" applyBorder="1"/>
    <xf numFmtId="0" fontId="0" fillId="4" borderId="8" xfId="0" applyFill="1" applyBorder="1"/>
    <xf numFmtId="0" fontId="0" fillId="4" borderId="9" xfId="0" applyFill="1" applyBorder="1"/>
    <xf numFmtId="0" fontId="7" fillId="4" borderId="100" xfId="0" applyNumberFormat="1" applyFont="1" applyFill="1" applyBorder="1"/>
    <xf numFmtId="0" fontId="7" fillId="4" borderId="104" xfId="0" applyNumberFormat="1" applyFont="1" applyFill="1" applyBorder="1"/>
    <xf numFmtId="0" fontId="0" fillId="4" borderId="3" xfId="0" applyFill="1" applyBorder="1"/>
    <xf numFmtId="0" fontId="0" fillId="4" borderId="117" xfId="0" applyFill="1" applyBorder="1"/>
    <xf numFmtId="0" fontId="0" fillId="4" borderId="118" xfId="0" applyFill="1" applyBorder="1"/>
    <xf numFmtId="0" fontId="0" fillId="4" borderId="4" xfId="0" applyFill="1" applyBorder="1"/>
    <xf numFmtId="0" fontId="0" fillId="4" borderId="5" xfId="0" applyFill="1" applyBorder="1"/>
    <xf numFmtId="0" fontId="0" fillId="4" borderId="119" xfId="0" applyFill="1" applyBorder="1"/>
    <xf numFmtId="0" fontId="0" fillId="4" borderId="120" xfId="0" applyFill="1" applyBorder="1"/>
    <xf numFmtId="0" fontId="0" fillId="4" borderId="121" xfId="0" applyFill="1" applyBorder="1"/>
    <xf numFmtId="0" fontId="0" fillId="4" borderId="122" xfId="0" applyFill="1" applyBorder="1"/>
    <xf numFmtId="0" fontId="0" fillId="4" borderId="123" xfId="0" applyFill="1" applyBorder="1"/>
    <xf numFmtId="0" fontId="0" fillId="4" borderId="124" xfId="0" applyFill="1" applyBorder="1"/>
    <xf numFmtId="49" fontId="7" fillId="8" borderId="125" xfId="0" applyNumberFormat="1" applyFont="1" applyFill="1" applyBorder="1"/>
    <xf numFmtId="49" fontId="7" fillId="8" borderId="126" xfId="0" applyNumberFormat="1" applyFont="1" applyFill="1" applyBorder="1"/>
    <xf numFmtId="49" fontId="7" fillId="8" borderId="127" xfId="0" applyNumberFormat="1" applyFont="1" applyFill="1" applyBorder="1"/>
    <xf numFmtId="176" fontId="7" fillId="4" borderId="128" xfId="0" applyNumberFormat="1" applyFont="1" applyFill="1" applyBorder="1"/>
    <xf numFmtId="177" fontId="7" fillId="4" borderId="129" xfId="0" applyNumberFormat="1" applyFont="1" applyFill="1" applyBorder="1"/>
    <xf numFmtId="178" fontId="7" fillId="4" borderId="130" xfId="0" applyNumberFormat="1" applyFont="1" applyFill="1" applyBorder="1"/>
    <xf numFmtId="178" fontId="7" fillId="4" borderId="131" xfId="0" applyNumberFormat="1" applyFont="1" applyFill="1" applyBorder="1"/>
    <xf numFmtId="177" fontId="7" fillId="4" borderId="132" xfId="0" applyNumberFormat="1" applyFont="1" applyFill="1" applyBorder="1"/>
    <xf numFmtId="0" fontId="7" fillId="4" borderId="133" xfId="0" applyNumberFormat="1" applyFont="1" applyFill="1" applyBorder="1"/>
    <xf numFmtId="0" fontId="7" fillId="4" borderId="134" xfId="0" applyNumberFormat="1" applyFont="1" applyFill="1" applyBorder="1"/>
    <xf numFmtId="0" fontId="7" fillId="4" borderId="135" xfId="0" applyNumberFormat="1" applyFont="1" applyFill="1" applyBorder="1"/>
    <xf numFmtId="176" fontId="7" fillId="4" borderId="136" xfId="0" applyNumberFormat="1" applyFont="1" applyFill="1" applyBorder="1"/>
    <xf numFmtId="0" fontId="7" fillId="4" borderId="137" xfId="0" applyNumberFormat="1" applyFont="1" applyFill="1" applyBorder="1"/>
    <xf numFmtId="0" fontId="7" fillId="4" borderId="138" xfId="0" applyNumberFormat="1" applyFont="1" applyFill="1" applyBorder="1"/>
    <xf numFmtId="0" fontId="7" fillId="4" borderId="139" xfId="0" applyNumberFormat="1" applyFont="1" applyFill="1" applyBorder="1"/>
    <xf numFmtId="49" fontId="7" fillId="8" borderId="140" xfId="0" applyNumberFormat="1" applyFont="1" applyFill="1" applyBorder="1"/>
    <xf numFmtId="0" fontId="0" fillId="4" borderId="141" xfId="0" applyFill="1" applyBorder="1"/>
    <xf numFmtId="0" fontId="0" fillId="4" borderId="142" xfId="0" applyFill="1" applyBorder="1"/>
    <xf numFmtId="0" fontId="16" fillId="4" borderId="11" xfId="0" applyFont="1" applyFill="1" applyBorder="1"/>
    <xf numFmtId="49" fontId="17" fillId="4" borderId="13" xfId="0" applyNumberFormat="1" applyFont="1" applyFill="1" applyBorder="1" applyAlignment="1">
      <alignment horizontal="center" vertical="center" wrapText="1"/>
    </xf>
    <xf numFmtId="49" fontId="17" fillId="4" borderId="13" xfId="0" applyNumberFormat="1" applyFont="1" applyFill="1" applyBorder="1" applyAlignment="1">
      <alignment horizontal="center" vertical="center"/>
    </xf>
    <xf numFmtId="17" fontId="17" fillId="4" borderId="13" xfId="0" applyNumberFormat="1" applyFont="1" applyFill="1" applyBorder="1" applyAlignment="1">
      <alignment horizontal="center"/>
    </xf>
    <xf numFmtId="0" fontId="17" fillId="4" borderId="13" xfId="0" applyFont="1" applyFill="1" applyBorder="1" applyAlignment="1">
      <alignment horizontal="center" vertical="center"/>
    </xf>
    <xf numFmtId="0" fontId="17" fillId="4" borderId="13" xfId="0" applyFont="1" applyFill="1" applyBorder="1" applyAlignment="1">
      <alignment horizontal="center" vertical="center" wrapText="1"/>
    </xf>
    <xf numFmtId="1" fontId="17" fillId="4" borderId="13" xfId="0" applyNumberFormat="1" applyFont="1" applyFill="1" applyBorder="1" applyAlignment="1">
      <alignment horizontal="center"/>
    </xf>
    <xf numFmtId="169" fontId="0" fillId="4" borderId="13" xfId="0" applyNumberFormat="1" applyFill="1" applyBorder="1" applyAlignment="1">
      <alignment vertical="center"/>
    </xf>
    <xf numFmtId="168" fontId="0" fillId="4" borderId="13" xfId="0" applyNumberFormat="1" applyFill="1" applyBorder="1" applyAlignment="1">
      <alignment vertical="center"/>
    </xf>
    <xf numFmtId="9" fontId="0" fillId="4" borderId="14" xfId="0" applyNumberFormat="1" applyFill="1" applyBorder="1"/>
    <xf numFmtId="17" fontId="17" fillId="4" borderId="13" xfId="0" applyNumberFormat="1" applyFont="1" applyFill="1" applyBorder="1" applyAlignment="1">
      <alignment horizontal="center" vertical="center"/>
    </xf>
    <xf numFmtId="3" fontId="17" fillId="4" borderId="13" xfId="0" applyNumberFormat="1" applyFont="1" applyFill="1" applyBorder="1" applyAlignment="1">
      <alignment horizontal="center" vertical="center"/>
    </xf>
    <xf numFmtId="168" fontId="17" fillId="4" borderId="13" xfId="0" applyNumberFormat="1" applyFont="1" applyFill="1" applyBorder="1" applyAlignment="1">
      <alignment horizontal="center" vertical="center"/>
    </xf>
    <xf numFmtId="169" fontId="17" fillId="4" borderId="10" xfId="0" applyNumberFormat="1" applyFont="1" applyFill="1" applyBorder="1" applyAlignment="1">
      <alignment horizontal="center"/>
    </xf>
    <xf numFmtId="49" fontId="7" fillId="4" borderId="13" xfId="0" applyNumberFormat="1" applyFont="1" applyFill="1" applyBorder="1" applyAlignment="1">
      <alignment horizontal="center" vertical="center"/>
    </xf>
    <xf numFmtId="49" fontId="0" fillId="4" borderId="13" xfId="0" applyNumberFormat="1" applyFill="1" applyBorder="1" applyAlignment="1">
      <alignment vertical="center"/>
    </xf>
    <xf numFmtId="0" fontId="0" fillId="4" borderId="13" xfId="0" applyNumberFormat="1" applyFill="1" applyBorder="1" applyAlignment="1">
      <alignment horizontal="center" vertical="center"/>
    </xf>
    <xf numFmtId="0" fontId="7" fillId="4" borderId="13" xfId="0" applyNumberFormat="1" applyFont="1" applyFill="1" applyBorder="1" applyAlignment="1">
      <alignment horizontal="center" vertical="center"/>
    </xf>
    <xf numFmtId="0" fontId="18" fillId="4" borderId="13" xfId="0" applyFont="1" applyFill="1" applyBorder="1"/>
    <xf numFmtId="0" fontId="7" fillId="4" borderId="13" xfId="0" applyFont="1" applyFill="1" applyBorder="1" applyAlignment="1">
      <alignment horizontal="center" vertical="center"/>
    </xf>
    <xf numFmtId="0" fontId="7" fillId="4" borderId="13" xfId="0" applyNumberFormat="1" applyFont="1" applyFill="1" applyBorder="1" applyAlignment="1">
      <alignment vertical="center"/>
    </xf>
    <xf numFmtId="9" fontId="0" fillId="4" borderId="13" xfId="0" applyNumberFormat="1" applyFill="1" applyBorder="1" applyAlignment="1">
      <alignment vertical="center"/>
    </xf>
    <xf numFmtId="2" fontId="0" fillId="4" borderId="13" xfId="0" applyNumberFormat="1" applyFill="1" applyBorder="1"/>
    <xf numFmtId="49" fontId="7" fillId="4" borderId="13" xfId="0" applyNumberFormat="1" applyFont="1" applyFill="1" applyBorder="1"/>
    <xf numFmtId="168" fontId="7" fillId="4" borderId="13" xfId="0" applyNumberFormat="1" applyFont="1" applyFill="1" applyBorder="1"/>
    <xf numFmtId="178" fontId="7" fillId="4" borderId="128" xfId="0" applyNumberFormat="1" applyFont="1" applyFill="1" applyBorder="1"/>
    <xf numFmtId="179" fontId="7" fillId="4" borderId="130" xfId="0" applyNumberFormat="1" applyFont="1" applyFill="1" applyBorder="1"/>
    <xf numFmtId="178" fontId="7" fillId="4" borderId="143" xfId="0" applyNumberFormat="1" applyFont="1" applyFill="1" applyBorder="1"/>
    <xf numFmtId="178" fontId="7" fillId="4" borderId="144" xfId="0" applyNumberFormat="1" applyFont="1" applyFill="1" applyBorder="1"/>
    <xf numFmtId="179" fontId="7" fillId="4" borderId="145" xfId="0" applyNumberFormat="1" applyFont="1" applyFill="1" applyBorder="1"/>
    <xf numFmtId="0" fontId="7" fillId="4" borderId="146" xfId="0" applyNumberFormat="1" applyFont="1" applyFill="1" applyBorder="1"/>
    <xf numFmtId="0" fontId="7" fillId="4" borderId="147" xfId="0" applyNumberFormat="1" applyFont="1" applyFill="1" applyBorder="1"/>
    <xf numFmtId="0" fontId="7" fillId="4" borderId="148" xfId="0" applyNumberFormat="1" applyFont="1" applyFill="1" applyBorder="1"/>
    <xf numFmtId="179" fontId="7" fillId="4" borderId="131" xfId="0" applyNumberFormat="1" applyFont="1" applyFill="1" applyBorder="1"/>
    <xf numFmtId="178" fontId="7" fillId="4" borderId="136" xfId="0" applyNumberFormat="1" applyFont="1" applyFill="1" applyBorder="1"/>
    <xf numFmtId="49" fontId="19" fillId="4" borderId="13" xfId="0" applyNumberFormat="1" applyFont="1" applyFill="1" applyBorder="1" applyAlignment="1">
      <alignment horizontal="center" vertical="center" wrapText="1"/>
    </xf>
    <xf numFmtId="0" fontId="19" fillId="4" borderId="13" xfId="0" applyNumberFormat="1" applyFont="1" applyFill="1" applyBorder="1" applyAlignment="1">
      <alignment horizontal="center" wrapText="1"/>
    </xf>
    <xf numFmtId="180" fontId="20" fillId="4" borderId="13" xfId="0" applyNumberFormat="1" applyFont="1" applyFill="1" applyBorder="1" applyAlignment="1">
      <alignment horizontal="left"/>
    </xf>
    <xf numFmtId="169" fontId="19" fillId="4" borderId="13" xfId="0" applyNumberFormat="1" applyFont="1" applyFill="1" applyBorder="1" applyAlignment="1">
      <alignment horizontal="right" wrapText="1"/>
    </xf>
    <xf numFmtId="0" fontId="0" fillId="4" borderId="10" xfId="0" applyNumberFormat="1" applyFill="1" applyBorder="1"/>
    <xf numFmtId="49" fontId="17" fillId="4" borderId="149" xfId="0" applyNumberFormat="1" applyFont="1" applyFill="1" applyBorder="1" applyAlignment="1">
      <alignment horizontal="center" vertical="center"/>
    </xf>
    <xf numFmtId="49" fontId="17" fillId="4" borderId="149" xfId="0" applyNumberFormat="1" applyFont="1" applyFill="1" applyBorder="1" applyAlignment="1">
      <alignment horizontal="center" vertical="center" wrapText="1"/>
    </xf>
    <xf numFmtId="0" fontId="17" fillId="4" borderId="21" xfId="0" applyNumberFormat="1" applyFont="1" applyFill="1" applyBorder="1" applyAlignment="1">
      <alignment horizontal="center" vertical="center"/>
    </xf>
    <xf numFmtId="169" fontId="17" fillId="4" borderId="13" xfId="0" applyNumberFormat="1" applyFont="1" applyFill="1" applyBorder="1" applyAlignment="1">
      <alignment horizontal="center" vertical="center"/>
    </xf>
    <xf numFmtId="49" fontId="17" fillId="4" borderId="23" xfId="0" applyNumberFormat="1" applyFont="1" applyFill="1" applyBorder="1" applyAlignment="1">
      <alignment horizontal="center" vertical="center"/>
    </xf>
    <xf numFmtId="0" fontId="17" fillId="4" borderId="150" xfId="0" applyNumberFormat="1" applyFont="1" applyFill="1" applyBorder="1" applyAlignment="1">
      <alignment horizontal="center" vertical="center"/>
    </xf>
    <xf numFmtId="49" fontId="17" fillId="4" borderId="19" xfId="0" applyNumberFormat="1" applyFont="1" applyFill="1" applyBorder="1" applyAlignment="1">
      <alignment horizontal="center" vertical="center"/>
    </xf>
    <xf numFmtId="169" fontId="17" fillId="4" borderId="19" xfId="0" applyNumberFormat="1" applyFont="1" applyFill="1" applyBorder="1" applyAlignment="1">
      <alignment horizontal="center" vertical="center"/>
    </xf>
    <xf numFmtId="49" fontId="17" fillId="4" borderId="19" xfId="0" applyNumberFormat="1" applyFont="1" applyFill="1" applyBorder="1" applyAlignment="1">
      <alignment horizontal="center" vertical="center" wrapText="1"/>
    </xf>
    <xf numFmtId="49" fontId="17" fillId="4" borderId="151" xfId="0" applyNumberFormat="1" applyFont="1" applyFill="1" applyBorder="1" applyAlignment="1">
      <alignment horizontal="center" vertical="center"/>
    </xf>
    <xf numFmtId="169" fontId="17" fillId="4" borderId="152" xfId="0" applyNumberFormat="1" applyFont="1" applyFill="1" applyBorder="1" applyAlignment="1">
      <alignment horizontal="center" vertical="center"/>
    </xf>
    <xf numFmtId="181" fontId="17" fillId="4" borderId="152" xfId="0" applyNumberFormat="1" applyFont="1" applyFill="1" applyBorder="1" applyAlignment="1">
      <alignment horizontal="center" vertical="center" wrapText="1"/>
    </xf>
    <xf numFmtId="0" fontId="17" fillId="4" borderId="152" xfId="0" applyFont="1" applyFill="1" applyBorder="1"/>
    <xf numFmtId="175" fontId="0" fillId="4" borderId="35" xfId="0" applyNumberFormat="1" applyFill="1" applyBorder="1"/>
    <xf numFmtId="0" fontId="0" fillId="4" borderId="153" xfId="0" applyFill="1" applyBorder="1"/>
    <xf numFmtId="175" fontId="0" fillId="4" borderId="153" xfId="0" applyNumberFormat="1" applyFill="1" applyBorder="1"/>
    <xf numFmtId="0" fontId="0" fillId="4" borderId="154" xfId="0" applyFill="1" applyBorder="1"/>
    <xf numFmtId="169" fontId="0" fillId="4" borderId="154" xfId="0" applyNumberFormat="1" applyFill="1" applyBorder="1"/>
    <xf numFmtId="0" fontId="7" fillId="4" borderId="83" xfId="0" applyNumberFormat="1" applyFont="1" applyFill="1" applyBorder="1"/>
    <xf numFmtId="0" fontId="7" fillId="4" borderId="87" xfId="0" applyNumberFormat="1" applyFont="1" applyFill="1" applyBorder="1"/>
    <xf numFmtId="0" fontId="7" fillId="4" borderId="91" xfId="0" applyNumberFormat="1" applyFont="1" applyFill="1" applyBorder="1"/>
    <xf numFmtId="0" fontId="0" fillId="4" borderId="2" xfId="0" applyFill="1" applyBorder="1"/>
    <xf numFmtId="49" fontId="7" fillId="8" borderId="155" xfId="0" applyNumberFormat="1" applyFont="1" applyFill="1" applyBorder="1"/>
    <xf numFmtId="0" fontId="0" fillId="4" borderId="73" xfId="0" applyFill="1" applyBorder="1"/>
    <xf numFmtId="0" fontId="0" fillId="4" borderId="6" xfId="0" applyFill="1" applyBorder="1"/>
    <xf numFmtId="0" fontId="7" fillId="4" borderId="156" xfId="0" applyNumberFormat="1" applyFont="1" applyFill="1" applyBorder="1"/>
    <xf numFmtId="0" fontId="7" fillId="4" borderId="157" xfId="0" applyNumberFormat="1" applyFont="1" applyFill="1" applyBorder="1"/>
    <xf numFmtId="0" fontId="7" fillId="4" borderId="158" xfId="0" applyNumberFormat="1" applyFont="1" applyFill="1" applyBorder="1"/>
    <xf numFmtId="0" fontId="7" fillId="8" borderId="159" xfId="0" applyNumberFormat="1" applyFont="1" applyFill="1" applyBorder="1"/>
    <xf numFmtId="0" fontId="0" fillId="4" borderId="160" xfId="0" applyFill="1" applyBorder="1"/>
    <xf numFmtId="0" fontId="0" fillId="4" borderId="161" xfId="0" applyFill="1" applyBorder="1"/>
    <xf numFmtId="0" fontId="0" fillId="4" borderId="162" xfId="0" applyFill="1" applyBorder="1"/>
    <xf numFmtId="0" fontId="0" fillId="4" borderId="1" xfId="0" applyFill="1" applyBorder="1"/>
    <xf numFmtId="182" fontId="0" fillId="4" borderId="10" xfId="0" applyNumberFormat="1" applyFill="1" applyBorder="1"/>
    <xf numFmtId="49" fontId="7" fillId="4" borderId="13" xfId="0" applyNumberFormat="1" applyFont="1" applyFill="1" applyBorder="1" applyAlignment="1">
      <alignment horizontal="center" vertical="top"/>
    </xf>
    <xf numFmtId="0" fontId="0" fillId="4" borderId="13" xfId="0" applyNumberFormat="1" applyFill="1" applyBorder="1" applyAlignment="1">
      <alignment vertical="center"/>
    </xf>
    <xf numFmtId="0" fontId="0" fillId="4" borderId="29" xfId="0" applyFill="1" applyBorder="1"/>
    <xf numFmtId="0" fontId="0" fillId="4" borderId="163" xfId="0" applyNumberFormat="1" applyFill="1" applyBorder="1" applyAlignment="1">
      <alignment horizontal="center"/>
    </xf>
    <xf numFmtId="0" fontId="0" fillId="4" borderId="164" xfId="0" applyNumberFormat="1" applyFill="1" applyBorder="1"/>
    <xf numFmtId="0" fontId="0" fillId="4" borderId="165" xfId="0" applyFill="1" applyBorder="1"/>
    <xf numFmtId="49" fontId="17" fillId="4" borderId="13" xfId="0" applyNumberFormat="1" applyFont="1" applyFill="1" applyBorder="1" applyAlignment="1">
      <alignment horizontal="center"/>
    </xf>
    <xf numFmtId="168" fontId="17" fillId="4" borderId="13" xfId="0" applyNumberFormat="1" applyFont="1" applyFill="1" applyBorder="1" applyAlignment="1">
      <alignment horizontal="center" vertical="center" wrapText="1"/>
    </xf>
    <xf numFmtId="0" fontId="17" fillId="4" borderId="13" xfId="0" applyFont="1" applyFill="1" applyBorder="1" applyAlignment="1">
      <alignment horizontal="right"/>
    </xf>
    <xf numFmtId="168" fontId="17" fillId="4" borderId="13" xfId="0" applyNumberFormat="1" applyFont="1" applyFill="1" applyBorder="1" applyAlignment="1">
      <alignment horizontal="center"/>
    </xf>
    <xf numFmtId="174" fontId="0" fillId="4" borderId="13" xfId="0" applyNumberFormat="1" applyFill="1" applyBorder="1"/>
    <xf numFmtId="15" fontId="0" fillId="4" borderId="13" xfId="0" applyNumberFormat="1" applyFill="1" applyBorder="1"/>
    <xf numFmtId="0" fontId="7" fillId="4" borderId="13" xfId="0" applyFont="1" applyFill="1" applyBorder="1"/>
    <xf numFmtId="174" fontId="7" fillId="4" borderId="13" xfId="0" applyNumberFormat="1" applyFont="1" applyFill="1" applyBorder="1"/>
    <xf numFmtId="49" fontId="7" fillId="4" borderId="13" xfId="0" applyNumberFormat="1" applyFont="1" applyFill="1" applyBorder="1" applyAlignment="1">
      <alignment horizontal="center" wrapText="1"/>
    </xf>
    <xf numFmtId="49" fontId="0" fillId="4" borderId="13" xfId="0" applyNumberFormat="1" applyFill="1" applyBorder="1" applyAlignment="1">
      <alignment horizontal="center" vertical="center"/>
    </xf>
    <xf numFmtId="49" fontId="0" fillId="4" borderId="13" xfId="0" applyNumberFormat="1" applyFill="1" applyBorder="1" applyAlignment="1">
      <alignment horizontal="center"/>
    </xf>
    <xf numFmtId="49" fontId="21" fillId="4" borderId="13" xfId="0" applyNumberFormat="1" applyFont="1" applyFill="1" applyBorder="1" applyAlignment="1">
      <alignment horizontal="center" vertical="center"/>
    </xf>
    <xf numFmtId="14" fontId="21" fillId="4" borderId="13" xfId="0" applyNumberFormat="1" applyFont="1" applyFill="1" applyBorder="1" applyAlignment="1">
      <alignment horizontal="center" vertical="center"/>
    </xf>
    <xf numFmtId="0" fontId="21" fillId="4" borderId="13" xfId="0" applyNumberFormat="1" applyFont="1" applyFill="1" applyBorder="1" applyAlignment="1">
      <alignment horizontal="center" vertical="center"/>
    </xf>
    <xf numFmtId="15" fontId="21" fillId="4" borderId="13" xfId="0" applyNumberFormat="1" applyFont="1" applyFill="1" applyBorder="1" applyAlignment="1">
      <alignment horizontal="center" vertical="center"/>
    </xf>
    <xf numFmtId="4" fontId="21" fillId="4" borderId="13" xfId="0" applyNumberFormat="1" applyFont="1" applyFill="1" applyBorder="1" applyAlignment="1">
      <alignment horizontal="center" vertical="center"/>
    </xf>
    <xf numFmtId="0" fontId="21" fillId="4" borderId="13" xfId="0" applyFont="1" applyFill="1" applyBorder="1" applyAlignment="1">
      <alignment horizontal="center" vertical="center"/>
    </xf>
    <xf numFmtId="3" fontId="21" fillId="4" borderId="13" xfId="0" applyNumberFormat="1" applyFont="1" applyFill="1" applyBorder="1" applyAlignment="1">
      <alignment horizontal="center" vertical="center"/>
    </xf>
    <xf numFmtId="49" fontId="4" fillId="4" borderId="11" xfId="0" applyNumberFormat="1" applyFont="1" applyFill="1" applyBorder="1"/>
    <xf numFmtId="49" fontId="7" fillId="9" borderId="13" xfId="0" applyNumberFormat="1" applyFont="1" applyFill="1" applyBorder="1" applyAlignment="1">
      <alignment vertical="center" wrapText="1"/>
    </xf>
    <xf numFmtId="49" fontId="7" fillId="9" borderId="13" xfId="0" applyNumberFormat="1" applyFont="1" applyFill="1" applyBorder="1" applyAlignment="1">
      <alignment horizontal="center" vertical="center" wrapText="1"/>
    </xf>
    <xf numFmtId="49" fontId="0" fillId="4" borderId="13" xfId="0" applyNumberFormat="1" applyFill="1" applyBorder="1" applyAlignment="1">
      <alignment vertical="center" wrapText="1"/>
    </xf>
    <xf numFmtId="168" fontId="0" fillId="4" borderId="13" xfId="0" applyNumberFormat="1" applyFill="1" applyBorder="1" applyAlignment="1">
      <alignment horizontal="center" vertical="center" wrapText="1"/>
    </xf>
    <xf numFmtId="49" fontId="7" fillId="4" borderId="13" xfId="0" applyNumberFormat="1" applyFont="1" applyFill="1" applyBorder="1" applyAlignment="1">
      <alignment vertical="center" wrapText="1"/>
    </xf>
    <xf numFmtId="168" fontId="7" fillId="4" borderId="13" xfId="0" applyNumberFormat="1" applyFont="1" applyFill="1" applyBorder="1" applyAlignment="1">
      <alignment horizontal="center" vertical="center" wrapText="1"/>
    </xf>
    <xf numFmtId="49" fontId="4" fillId="4" borderId="16" xfId="0" applyNumberFormat="1" applyFont="1" applyFill="1" applyBorder="1" applyAlignment="1">
      <alignment vertical="center" wrapText="1"/>
    </xf>
    <xf numFmtId="0" fontId="7" fillId="4" borderId="16" xfId="0" applyFont="1" applyFill="1" applyBorder="1" applyAlignment="1">
      <alignment horizontal="center" vertical="center" wrapText="1"/>
    </xf>
    <xf numFmtId="168" fontId="0" fillId="4" borderId="13" xfId="0" applyNumberFormat="1" applyFill="1" applyBorder="1" applyAlignment="1">
      <alignment vertical="center" wrapText="1"/>
    </xf>
    <xf numFmtId="168" fontId="7" fillId="4" borderId="13" xfId="0" applyNumberFormat="1" applyFont="1" applyFill="1" applyBorder="1" applyAlignment="1">
      <alignment vertical="center" wrapText="1"/>
    </xf>
    <xf numFmtId="17" fontId="0" fillId="4" borderId="13" xfId="0" applyNumberFormat="1" applyFill="1" applyBorder="1"/>
    <xf numFmtId="49" fontId="1" fillId="4" borderId="5" xfId="0" applyNumberFormat="1" applyFont="1" applyFill="1" applyBorder="1" applyAlignment="1">
      <alignment horizontal="left" wrapText="1"/>
    </xf>
    <xf numFmtId="0" fontId="0" fillId="0" borderId="5" xfId="0" applyBorder="1"/>
    <xf numFmtId="0" fontId="0" fillId="4" borderId="13" xfId="0" applyFill="1" applyBorder="1" applyAlignment="1">
      <alignment horizontal="left"/>
    </xf>
    <xf numFmtId="0" fontId="0" fillId="4" borderId="10" xfId="0" applyFill="1" applyBorder="1" applyAlignment="1">
      <alignment horizontal="left" wrapText="1"/>
    </xf>
    <xf numFmtId="14" fontId="0" fillId="4" borderId="13" xfId="0" applyNumberFormat="1" applyFill="1" applyBorder="1" applyAlignment="1">
      <alignment horizontal="left"/>
    </xf>
    <xf numFmtId="173" fontId="0" fillId="4" borderId="13" xfId="0" applyNumberFormat="1" applyFill="1" applyBorder="1" applyAlignment="1">
      <alignment horizontal="left"/>
    </xf>
    <xf numFmtId="173" fontId="0" fillId="4" borderId="17" xfId="0" applyNumberFormat="1" applyFill="1" applyBorder="1" applyAlignment="1">
      <alignment horizontal="left"/>
    </xf>
    <xf numFmtId="173" fontId="0" fillId="4" borderId="16" xfId="0" applyNumberFormat="1" applyFill="1" applyBorder="1" applyAlignment="1">
      <alignment horizontal="left"/>
    </xf>
    <xf numFmtId="173" fontId="0" fillId="4" borderId="18" xfId="0" applyNumberFormat="1" applyFill="1" applyBorder="1" applyAlignment="1">
      <alignment horizontal="left"/>
    </xf>
    <xf numFmtId="49" fontId="4" fillId="4" borderId="13" xfId="0" applyNumberFormat="1" applyFont="1" applyFill="1" applyBorder="1" applyAlignment="1">
      <alignment horizontal="center"/>
    </xf>
    <xf numFmtId="0" fontId="4" fillId="4" borderId="13" xfId="0" applyFont="1" applyFill="1" applyBorder="1" applyAlignment="1">
      <alignment horizontal="center"/>
    </xf>
    <xf numFmtId="49" fontId="15" fillId="4" borderId="32" xfId="0" applyNumberFormat="1" applyFont="1" applyFill="1" applyBorder="1" applyAlignment="1">
      <alignment horizontal="center"/>
    </xf>
    <xf numFmtId="0" fontId="15" fillId="4" borderId="33" xfId="0" applyFont="1" applyFill="1" applyBorder="1" applyAlignment="1">
      <alignment horizontal="center"/>
    </xf>
    <xf numFmtId="0" fontId="15" fillId="4" borderId="34" xfId="0" applyFont="1" applyFill="1" applyBorder="1" applyAlignment="1">
      <alignment horizontal="center"/>
    </xf>
    <xf numFmtId="49" fontId="15" fillId="4" borderId="36" xfId="0" applyNumberFormat="1" applyFont="1" applyFill="1" applyBorder="1" applyAlignment="1">
      <alignment horizontal="center" wrapText="1"/>
    </xf>
    <xf numFmtId="0" fontId="15" fillId="4" borderId="37" xfId="0" applyFont="1" applyFill="1" applyBorder="1" applyAlignment="1">
      <alignment horizontal="center" wrapText="1"/>
    </xf>
    <xf numFmtId="0" fontId="15" fillId="4" borderId="38" xfId="0" applyFont="1" applyFill="1" applyBorder="1" applyAlignment="1">
      <alignment horizontal="center" wrapText="1"/>
    </xf>
    <xf numFmtId="49" fontId="1" fillId="4" borderId="39" xfId="0" applyNumberFormat="1" applyFont="1" applyFill="1" applyBorder="1" applyAlignment="1">
      <alignment horizontal="center" vertical="center"/>
    </xf>
    <xf numFmtId="0" fontId="1" fillId="4" borderId="40" xfId="0" applyFont="1" applyFill="1" applyBorder="1" applyAlignment="1">
      <alignment horizontal="center" vertical="center"/>
    </xf>
    <xf numFmtId="0" fontId="1" fillId="4" borderId="41" xfId="0" applyFont="1" applyFill="1" applyBorder="1" applyAlignment="1">
      <alignment horizontal="center" vertical="center"/>
    </xf>
    <xf numFmtId="0" fontId="1" fillId="0" borderId="0" xfId="0" applyFont="1" applyAlignment="1">
      <alignment vertical="center"/>
    </xf>
    <xf numFmtId="49" fontId="17" fillId="4" borderId="32" xfId="0" applyNumberFormat="1" applyFont="1" applyFill="1" applyBorder="1" applyAlignment="1">
      <alignment horizontal="center" vertical="center"/>
    </xf>
    <xf numFmtId="0" fontId="17" fillId="4" borderId="34" xfId="0" applyFont="1" applyFill="1" applyBorder="1" applyAlignment="1">
      <alignment horizontal="center" vertical="center"/>
    </xf>
  </cellXfs>
  <cellStyles count="1">
    <cellStyle name="Normal" xfId="0" builtinId="0"/>
  </cellStyles>
  <dxfs count="69">
    <dxf>
      <font>
        <color rgb="FFFF0000"/>
      </font>
    </dxf>
    <dxf>
      <font>
        <b/>
        <color rgb="FF000000"/>
      </font>
      <fill>
        <patternFill patternType="solid">
          <fgColor indexed="31"/>
          <bgColor indexed="20"/>
        </patternFill>
      </fill>
      <border>
        <left style="thin">
          <color indexed="27"/>
        </left>
        <right style="thin">
          <color indexed="27"/>
        </right>
        <top style="thin">
          <color indexed="21"/>
        </top>
        <bottom style="thin">
          <color indexed="26"/>
        </bottom>
        <vertical style="thin">
          <color indexed="30"/>
        </vertical>
        <horizontal/>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27"/>
        </left>
        <right style="thin">
          <color indexed="27"/>
        </right>
        <top style="thin">
          <color indexed="27"/>
        </top>
        <bottom style="thin">
          <color indexed="21"/>
        </bottom>
        <vertical style="thin">
          <color indexed="28"/>
        </vertical>
        <horizontal/>
      </border>
    </dxf>
    <dxf>
      <font>
        <color rgb="FF000000"/>
      </font>
      <border>
        <left style="thin">
          <color indexed="27"/>
        </left>
        <right style="thin">
          <color indexed="27"/>
        </right>
        <top style="thin">
          <color indexed="27"/>
        </top>
        <bottom style="thin">
          <color indexed="27"/>
        </bottom>
        <vertical style="thin">
          <color indexed="29"/>
        </vertical>
        <horizontal style="thin">
          <color indexed="27"/>
        </horizontal>
      </border>
    </dxf>
    <dxf>
      <font>
        <b/>
        <color rgb="FF000000"/>
      </font>
      <fill>
        <patternFill patternType="solid">
          <fgColor indexed="31"/>
          <bgColor indexed="20"/>
        </patternFill>
      </fill>
      <border>
        <left style="thin">
          <color indexed="27"/>
        </left>
        <right style="thin">
          <color indexed="27"/>
        </right>
        <top style="thin">
          <color indexed="21"/>
        </top>
        <bottom style="thin">
          <color indexed="26"/>
        </bottom>
        <vertical style="thin">
          <color indexed="30"/>
        </vertical>
        <horizontal/>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27"/>
        </left>
        <right style="thin">
          <color indexed="27"/>
        </right>
        <top style="thin">
          <color indexed="27"/>
        </top>
        <bottom style="thin">
          <color indexed="21"/>
        </bottom>
        <vertical style="thin">
          <color indexed="28"/>
        </vertical>
        <horizontal/>
      </border>
    </dxf>
    <dxf>
      <font>
        <color rgb="FF000000"/>
      </font>
      <border>
        <left style="thin">
          <color indexed="27"/>
        </left>
        <right style="thin">
          <color indexed="27"/>
        </right>
        <top style="thin">
          <color indexed="27"/>
        </top>
        <bottom style="thin">
          <color indexed="27"/>
        </bottom>
        <vertical style="thin">
          <color indexed="29"/>
        </vertical>
        <horizontal style="thin">
          <color indexed="27"/>
        </horizontal>
      </border>
    </dxf>
    <dxf>
      <font>
        <b/>
        <color rgb="FF000000"/>
      </font>
      <fill>
        <patternFill patternType="solid">
          <fgColor indexed="31"/>
          <bgColor indexed="20"/>
        </patternFill>
      </fill>
      <border>
        <left style="thin">
          <color indexed="27"/>
        </left>
        <right style="thin">
          <color indexed="27"/>
        </right>
        <top style="thin">
          <color indexed="21"/>
        </top>
        <bottom style="thin">
          <color indexed="26"/>
        </bottom>
        <vertical style="thin">
          <color indexed="30"/>
        </vertical>
        <horizontal/>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27"/>
        </left>
        <right style="thin">
          <color indexed="27"/>
        </right>
        <top style="thin">
          <color indexed="27"/>
        </top>
        <bottom style="thin">
          <color indexed="21"/>
        </bottom>
        <vertical style="thin">
          <color indexed="28"/>
        </vertical>
        <horizontal/>
      </border>
    </dxf>
    <dxf>
      <font>
        <color rgb="FF000000"/>
      </font>
      <border>
        <left style="thin">
          <color indexed="27"/>
        </left>
        <right style="thin">
          <color indexed="27"/>
        </right>
        <top style="thin">
          <color indexed="27"/>
        </top>
        <bottom style="thin">
          <color indexed="27"/>
        </bottom>
        <vertical style="thin">
          <color indexed="29"/>
        </vertical>
        <horizontal style="thin">
          <color indexed="27"/>
        </horizontal>
      </border>
    </dxf>
    <dxf>
      <font>
        <b/>
        <color rgb="FF000000"/>
      </font>
      <fill>
        <patternFill patternType="solid">
          <fgColor indexed="31"/>
          <bgColor indexed="20"/>
        </patternFill>
      </fill>
      <border>
        <left style="thin">
          <color indexed="27"/>
        </left>
        <right style="thin">
          <color indexed="27"/>
        </right>
        <top style="thin">
          <color indexed="21"/>
        </top>
        <bottom style="thin">
          <color indexed="26"/>
        </bottom>
        <vertical style="thin">
          <color indexed="30"/>
        </vertical>
        <horizontal/>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27"/>
        </left>
        <right style="thin">
          <color indexed="27"/>
        </right>
        <top style="thin">
          <color indexed="27"/>
        </top>
        <bottom style="thin">
          <color indexed="21"/>
        </bottom>
        <vertical style="thin">
          <color indexed="28"/>
        </vertical>
        <horizontal/>
      </border>
    </dxf>
    <dxf>
      <font>
        <color rgb="FF000000"/>
      </font>
      <border>
        <left style="thin">
          <color indexed="27"/>
        </left>
        <right style="thin">
          <color indexed="27"/>
        </right>
        <top style="thin">
          <color indexed="27"/>
        </top>
        <bottom style="thin">
          <color indexed="27"/>
        </bottom>
        <vertical style="thin">
          <color indexed="29"/>
        </vertical>
        <horizontal style="thin">
          <color indexed="27"/>
        </horizontal>
      </border>
    </dxf>
  </dxfs>
  <tableStyles count="4">
    <tableStyle name="PivotStyleCustom01" count="17" xr9:uid="{00000000-0011-0000-FFFF-FFFF00000000}">
      <tableStyleElement type="wholeTable" dxfId="68"/>
      <tableStyleElement type="headerRow" dxfId="67"/>
      <tableStyleElement type="totalRow" dxfId="52"/>
      <tableStyleElement type="firstColumn" dxfId="63"/>
      <tableStyleElement type="lastColumn" dxfId="62"/>
      <tableStyleElement type="firstSubtotalColumn" dxfId="58"/>
      <tableStyleElement type="secondSubtotalColumn" dxfId="57"/>
      <tableStyleElement type="thirdSubtotalColumn" dxfId="56"/>
      <tableStyleElement type="firstSubtotalRow" dxfId="55"/>
      <tableStyleElement type="secondSubtotalRow" dxfId="54"/>
      <tableStyleElement type="thirdSubtotalRow" dxfId="53"/>
      <tableStyleElement type="firstColumnSubheading" dxfId="66"/>
      <tableStyleElement type="secondColumnSubheading" dxfId="65"/>
      <tableStyleElement type="thirdColumnSubheading" dxfId="64"/>
      <tableStyleElement type="firstRowSubheading" dxfId="61"/>
      <tableStyleElement type="secondRowSubheading" dxfId="60"/>
      <tableStyleElement type="thirdRowSubheading" dxfId="59"/>
    </tableStyle>
    <tableStyle name="PivotStyleCustom02" count="17" xr9:uid="{00000000-0011-0000-FFFF-FFFF01000000}">
      <tableStyleElement type="wholeTable" dxfId="51"/>
      <tableStyleElement type="headerRow" dxfId="50"/>
      <tableStyleElement type="totalRow" dxfId="35"/>
      <tableStyleElement type="firstColumn" dxfId="46"/>
      <tableStyleElement type="lastColumn" dxfId="45"/>
      <tableStyleElement type="firstSubtotalColumn" dxfId="41"/>
      <tableStyleElement type="secondSubtotalColumn" dxfId="40"/>
      <tableStyleElement type="thirdSubtotalColumn" dxfId="39"/>
      <tableStyleElement type="firstSubtotalRow" dxfId="38"/>
      <tableStyleElement type="secondSubtotalRow" dxfId="37"/>
      <tableStyleElement type="thirdSubtotalRow" dxfId="36"/>
      <tableStyleElement type="firstColumnSubheading" dxfId="49"/>
      <tableStyleElement type="secondColumnSubheading" dxfId="48"/>
      <tableStyleElement type="thirdColumnSubheading" dxfId="47"/>
      <tableStyleElement type="firstRowSubheading" dxfId="44"/>
      <tableStyleElement type="secondRowSubheading" dxfId="43"/>
      <tableStyleElement type="thirdRowSubheading" dxfId="42"/>
    </tableStyle>
    <tableStyle name="PivotStyleCustom03" count="17" xr9:uid="{00000000-0011-0000-FFFF-FFFF02000000}">
      <tableStyleElement type="wholeTable" dxfId="34"/>
      <tableStyleElement type="headerRow" dxfId="33"/>
      <tableStyleElement type="totalRow" dxfId="18"/>
      <tableStyleElement type="firstColumn" dxfId="29"/>
      <tableStyleElement type="lastColumn" dxfId="28"/>
      <tableStyleElement type="firstSubtotalColumn" dxfId="24"/>
      <tableStyleElement type="secondSubtotalColumn" dxfId="23"/>
      <tableStyleElement type="thirdSubtotalColumn" dxfId="22"/>
      <tableStyleElement type="firstSubtotalRow" dxfId="21"/>
      <tableStyleElement type="secondSubtotalRow" dxfId="20"/>
      <tableStyleElement type="thirdSubtotalRow" dxfId="19"/>
      <tableStyleElement type="firstColumnSubheading" dxfId="32"/>
      <tableStyleElement type="secondColumnSubheading" dxfId="31"/>
      <tableStyleElement type="thirdColumnSubheading" dxfId="30"/>
      <tableStyleElement type="firstRowSubheading" dxfId="27"/>
      <tableStyleElement type="secondRowSubheading" dxfId="26"/>
      <tableStyleElement type="thirdRowSubheading" dxfId="25"/>
    </tableStyle>
    <tableStyle name="PivotStyleCustom04" count="17" xr9:uid="{00000000-0011-0000-FFFF-FFFF03000000}">
      <tableStyleElement type="wholeTable" dxfId="17"/>
      <tableStyleElement type="headerRow" dxfId="16"/>
      <tableStyleElement type="totalRow" dxfId="1"/>
      <tableStyleElement type="firstColumn" dxfId="12"/>
      <tableStyleElement type="lastColumn" dxfId="11"/>
      <tableStyleElement type="firstSubtotalColumn" dxfId="7"/>
      <tableStyleElement type="secondSubtotalColumn" dxfId="6"/>
      <tableStyleElement type="thirdSubtotalColumn" dxfId="5"/>
      <tableStyleElement type="firstSubtotalRow" dxfId="4"/>
      <tableStyleElement type="secondSubtotalRow" dxfId="3"/>
      <tableStyleElement type="thirdSubtotalRow" dxfId="2"/>
      <tableStyleElement type="firstColumnSubheading" dxfId="15"/>
      <tableStyleElement type="secondColumnSubheading" dxfId="14"/>
      <tableStyleElement type="thirdColumnSubheading" dxfId="13"/>
      <tableStyleElement type="firstRowSubheading" dxfId="10"/>
      <tableStyleElement type="secondRowSubheading" dxfId="9"/>
      <tableStyleElement type="thirdRowSubheading" dxfId="8"/>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0563C1"/>
      <rgbColor rgb="FFB4C6E7"/>
      <rgbColor rgb="FFEAEFF7"/>
      <rgbColor rgb="FFFF0000"/>
      <rgbColor rgb="FFD8D8D8"/>
      <rgbColor rgb="FFD4D4D4"/>
      <rgbColor rgb="FFDEEAF6"/>
      <rgbColor rgb="FF9CC2E5"/>
      <rgbColor rgb="FFCDE0F2"/>
      <rgbColor rgb="FFDFDFDF"/>
      <rgbColor rgb="FFA6B0B8"/>
      <rgbColor rgb="FFD2D7DB"/>
      <rgbColor rgb="FF5B9BD5"/>
      <rgbColor rgb="FFE9E9E9"/>
      <rgbColor rgb="FFE6EFF8"/>
      <rgbColor rgb="FFEFEFEF"/>
      <rgbColor rgb="FFE8EBED"/>
      <rgbColor rgb="00000000"/>
      <rgbColor rgb="FFCDE0F2"/>
      <rgbColor rgb="FFD4D4D4"/>
      <rgbColor rgb="FFBFBFBF"/>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pivotCacheDefinition" Target="pivotCache/pivotCacheDefinition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53" xr:uid="{00000000-000A-0000-FFFF-FFFF00000000}">
  <cacheSource type="worksheet">
    <worksheetSource ref="B2:L55" sheet="Sold- Prime"/>
  </cacheSource>
  <cacheFields count="16">
    <cacheField name="Unit No" numFmtId="0">
      <sharedItems containsSemiMixedTypes="0" containsNonDate="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 name="Customer Name" numFmtId="0">
      <sharedItems containsNonDate="0" count="1">
        <s v="A"/>
      </sharedItems>
    </cacheField>
    <cacheField name="DOB" numFmtId="0">
      <sharedItems containsNonDate="0" count="7">
        <s v="3rd"/>
        <s v="4th"/>
        <s v="7th"/>
        <s v="2nd"/>
        <s v="5th"/>
        <s v="1st"/>
        <s v="6th"/>
      </sharedItems>
    </cacheField>
    <cacheField name="Saleable Area" numFmtId="0">
      <sharedItems containsSemiMixedTypes="0" containsNonDate="0" containsString="0" containsNumber="1" containsInteger="1" minValue="101" maxValue="709" count="53">
        <n v="302"/>
        <n v="304"/>
        <n v="404"/>
        <n v="701"/>
        <n v="205"/>
        <n v="503"/>
        <n v="101"/>
        <n v="405"/>
        <n v="601"/>
        <n v="602"/>
        <n v="606"/>
        <n v="704"/>
        <n v="401"/>
        <n v="406"/>
        <n v="501"/>
        <n v="301"/>
        <n v="203"/>
        <n v="707"/>
        <n v="407"/>
        <n v="607"/>
        <n v="106"/>
        <n v="103"/>
        <n v="104"/>
        <n v="604"/>
        <n v="603"/>
        <n v="505"/>
        <n v="703"/>
        <n v="402"/>
        <n v="502"/>
        <n v="605"/>
        <n v="201"/>
        <n v="307"/>
        <n v="202"/>
        <n v="504"/>
        <n v="206"/>
        <n v="208"/>
        <n v="702"/>
        <n v="509"/>
        <n v="709"/>
        <n v="705"/>
        <n v="507"/>
        <n v="305"/>
        <n v="403"/>
        <n v="506"/>
        <n v="105"/>
        <n v="207"/>
        <n v="209"/>
        <n v="306"/>
        <n v="706"/>
        <n v="102"/>
        <n v="303"/>
        <n v="204"/>
        <n v="107"/>
      </sharedItems>
    </cacheField>
    <cacheField name="Sales Value (Without Tax)" numFmtId="0">
      <sharedItems containsNonDate="0" count="3">
        <s v="3BHK"/>
        <s v="4BHK"/>
        <s v="2BHK"/>
      </sharedItems>
    </cacheField>
    <cacheField name="Received" numFmtId="0">
      <sharedItems containsNonDate="0" count="1">
        <s v="SOLD"/>
      </sharedItems>
    </cacheField>
    <cacheField name="Receivables" numFmtId="0">
      <sharedItems containsNonDate="0" count="53">
        <s v="VIBHA ARORA"/>
        <s v="SHALINI GUMBER"/>
        <s v="SURINDER PAL KAUR"/>
        <s v="GAGAN GULATI"/>
        <s v="AJAY KUMAR JAIN"/>
        <s v="VASU GUPTA"/>
        <s v="MANU GARG"/>
        <s v="LAKSH GUPTA"/>
        <s v="RAJ KUMAR GUABA"/>
        <s v="MADHUR GAUBA"/>
        <s v="MANJIT LUTHRA"/>
        <s v="PRAKASH NAGPAL"/>
        <s v="DIPIKA CHAUDHARY"/>
        <s v="SATISH KUMAR"/>
        <s v="RAKESH BHATNAGAR"/>
        <s v="SUREKHA GUPTA"/>
        <s v="NITIN ARORA"/>
        <s v="PRIYANKA PASRICHA"/>
        <s v="SANJAY ARORA"/>
        <s v="SHALINI VIRMANI"/>
        <s v="ASHOK KUMAR BHARDWAJ"/>
        <s v="RAMA GUPTA"/>
        <s v="ANJANA GUPTA"/>
        <s v="BHUPESH SATIJA"/>
        <s v="INDU  DAWAR"/>
        <s v="VIRENDRA KUMAR"/>
        <s v="RENU AGARWAL"/>
        <s v="SAURABH WALIA"/>
        <s v="RAJIV JAIN"/>
        <s v="ANSHUMAN TIWARI"/>
        <s v="NITU GUPTA"/>
        <s v="ARCHANA VERDHAN"/>
        <s v="PUNEET GUPTA"/>
        <s v="PULKIT MITTAL"/>
        <s v="SEEMA CHAUDHARY"/>
        <s v="SUCHITA TYAGI"/>
        <s v="PRINCE SETIA"/>
        <s v="BINDU BHATNAGAR"/>
        <s v="AMIT JAIN"/>
        <s v="GIRISH CHAND SHARMA"/>
        <s v="MAYANK GUPTA"/>
        <s v="MEENA KUMARI"/>
        <s v="TILAK TRADERS"/>
        <s v="SURENDRA PAL SINGH"/>
        <s v="ARUN KUMAR GUARG"/>
        <s v="AKHILESH MITTAL"/>
        <s v="KANCHAN SRIVASTAVA"/>
        <s v="ANKUR VERMA"/>
        <s v="POONAM MALIKTALA"/>
        <s v="PARAM JEET BHOPRAI"/>
        <s v="SEEMA GOYAL"/>
        <s v="RAKESH KUMAR"/>
        <s v="SOHIL ARORA"/>
      </sharedItems>
    </cacheField>
    <cacheField name=" " numFmtId="0">
      <sharedItems containsSemiMixedTypes="0" containsNonDate="0" containsDate="1" containsString="0" minDate="2018-10-22T00:00:00" maxDate="2022-06-22T00:00:00" count="52">
        <d v="2018-10-22T00:00:00"/>
        <d v="2018-11-21T00:00:00"/>
        <d v="2019-02-05T00:00:00"/>
        <d v="2019-06-14T00:00:00"/>
        <d v="2019-06-19T00:00:00"/>
        <d v="2019-07-28T00:00:00"/>
        <d v="2019-08-01T00:00:00"/>
        <d v="2019-08-05T00:00:00"/>
        <d v="2019-08-20T00:00:00"/>
        <d v="2019-09-15T00:00:00"/>
        <d v="2019-10-20T00:00:00"/>
        <d v="2019-11-28T00:00:00"/>
        <d v="2020-02-10T00:00:00"/>
        <d v="2020-05-29T00:00:00"/>
        <d v="2020-06-26T00:00:00"/>
        <d v="2020-07-06T00:00:00"/>
        <d v="2020-07-28T00:00:00"/>
        <d v="2020-08-11T00:00:00"/>
        <d v="2020-08-20T00:00:00"/>
        <d v="2020-08-30T00:00:00"/>
        <d v="2020-12-28T00:00:00"/>
        <d v="2021-01-06T00:00:00"/>
        <d v="2021-01-16T00:00:00"/>
        <d v="2021-02-23T00:00:00"/>
        <d v="2021-03-15T00:00:00"/>
        <d v="2021-03-22T00:00:00"/>
        <d v="2021-03-26T00:00:00"/>
        <d v="2021-05-05T00:00:00"/>
        <d v="2021-06-06T00:00:00"/>
        <d v="2021-07-15T00:00:00"/>
        <d v="2021-07-17T00:00:00"/>
        <d v="2021-08-01T00:00:00"/>
        <d v="2021-08-18T00:00:00"/>
        <d v="2021-08-22T00:00:00"/>
        <d v="2021-08-24T00:00:00"/>
        <d v="2021-10-25T00:00:00"/>
        <d v="2021-10-30T00:00:00"/>
        <d v="2021-11-02T00:00:00"/>
        <d v="2021-11-10T00:00:00"/>
        <d v="2021-11-13T00:00:00"/>
        <d v="2022-01-09T00:00:00"/>
        <d v="2022-01-28T00:00:00"/>
        <d v="2022-02-21T00:00:00"/>
        <d v="2022-02-22T00:00:00"/>
        <d v="2022-04-02T00:00:00"/>
        <d v="2022-04-06T00:00:00"/>
        <d v="2022-04-13T00:00:00"/>
        <d v="2022-04-26T00:00:00"/>
        <d v="2022-05-20T00:00:00"/>
        <d v="2022-05-31T00:00:00"/>
        <d v="2022-06-17T00:00:00"/>
        <d v="2022-06-22T00:00:00"/>
      </sharedItems>
    </cacheField>
    <cacheField name=" 2" numFmtId="0">
      <sharedItems containsSemiMixedTypes="0" containsNonDate="0" containsString="0" containsNumber="1" containsInteger="1" minValue="1475" maxValue="2940" count="15">
        <n v="1640"/>
        <n v="2330"/>
        <n v="1655"/>
        <n v="1885"/>
        <n v="1785"/>
        <n v="1715"/>
        <n v="2940"/>
        <n v="1670"/>
        <n v="1475"/>
        <n v="1795"/>
        <n v="1660"/>
        <n v="1680"/>
        <n v="1920"/>
        <n v="1700"/>
        <n v="1520"/>
      </sharedItems>
    </cacheField>
    <cacheField name=" 3" numFmtId="0">
      <sharedItems containsSemiMixedTypes="0" containsNonDate="0" containsString="0" containsNumber="1" containsInteger="1" minValue="5039475" maxValue="13274100" count="50">
        <n v="5368864"/>
        <n v="7796996"/>
        <n v="6850200"/>
        <n v="5039475"/>
        <n v="7216345"/>
        <n v="5247900"/>
        <n v="7383075"/>
        <n v="5541900"/>
        <n v="6632992"/>
        <n v="6354180"/>
        <n v="10557540"/>
        <n v="9277128"/>
        <n v="8843600"/>
        <n v="7420193"/>
        <n v="7559213"/>
        <n v="5810175"/>
        <n v="6750975"/>
        <n v="6123222"/>
        <n v="7540050"/>
        <n v="5807813"/>
        <n v="6730442"/>
        <n v="7094850"/>
        <n v="7334607"/>
        <n v="7470761"/>
        <n v="6903624"/>
        <n v="6312474"/>
        <n v="5523520"/>
        <n v="5804862"/>
        <n v="8609738"/>
        <n v="7385438"/>
        <n v="6838650"/>
        <n v="7318500"/>
        <n v="7253873"/>
        <n v="9261000"/>
        <n v="6274800"/>
        <n v="6715800"/>
        <n v="5431356"/>
        <n v="5521320"/>
        <n v="7301453"/>
        <n v="6512499"/>
        <n v="8142635"/>
        <n v="12385044"/>
        <n v="7862400"/>
        <n v="7189350"/>
        <n v="7232400"/>
        <n v="9466653"/>
        <n v="13274100"/>
        <n v="5176500"/>
        <n v="8807400"/>
        <n v="6224400"/>
      </sharedItems>
    </cacheField>
    <cacheField name=" 4" numFmtId="0">
      <sharedItems containsSemiMixedTypes="0" containsNonDate="0" containsString="0" containsNumber="1" containsInteger="1" minValue="448000" maxValue="6860000" count="44">
        <n v="2900000"/>
        <n v="5267000"/>
        <n v="5300000"/>
        <n v="2800000"/>
        <n v="4000000"/>
        <n v="448000"/>
        <n v="2514000"/>
        <n v="1500000"/>
        <n v="2150000"/>
        <n v="2650000"/>
        <n v="6860000"/>
        <n v="3654000"/>
        <n v="3321500"/>
        <n v="5075000"/>
        <n v="5120094"/>
        <n v="2380000"/>
        <n v="3251000"/>
        <n v="3651000"/>
        <n v="3960000"/>
        <n v="6000000"/>
        <n v="3900000"/>
        <n v="2000000"/>
        <n v="4600000"/>
        <n v="1200000"/>
        <n v="3378000"/>
        <n v="4850000"/>
        <n v="5513203"/>
        <n v="3671615"/>
        <n v="4327966"/>
        <n v="6104000"/>
        <n v="4056000"/>
        <n v="2300000"/>
        <n v="3400000"/>
        <n v="1400000"/>
        <n v="4500000"/>
        <n v="4848283"/>
        <n v="2500000"/>
        <n v="1100000"/>
        <n v="1300000"/>
        <n v="500000"/>
        <n v="1000000"/>
        <n v="1600000"/>
        <n v="2200000"/>
        <n v="4204048"/>
      </sharedItems>
    </cacheField>
    <cacheField name=" 5" numFmtId="0">
      <sharedItems containsSemiMixedTypes="0" containsNonDate="0" containsString="0" containsNumber="1" containsInteger="1" minValue="730442" maxValue="12274100" count="53">
        <n v="2468864"/>
        <n v="2529996"/>
        <n v="1550200"/>
        <n v="2239475"/>
        <n v="3216345"/>
        <n v="4799900"/>
        <n v="4869075"/>
        <n v="4041900"/>
        <n v="4482992"/>
        <n v="3704180"/>
        <n v="6557540"/>
        <n v="2417128"/>
        <n v="1385475"/>
        <n v="5522100"/>
        <n v="2345193"/>
        <n v="2439119"/>
        <n v="3430175"/>
        <n v="3499975"/>
        <n v="3223222"/>
        <n v="3889050"/>
        <n v="1847813"/>
        <n v="730442"/>
        <n v="3194850"/>
        <n v="5334607"/>
        <n v="2870761"/>
        <n v="5703624"/>
        <n v="2934474"/>
        <n v="2145520"/>
        <n v="954862"/>
        <n v="3096535"/>
        <n v="3713823"/>
        <n v="2510684"/>
        <n v="1214500"/>
        <n v="3197873"/>
        <n v="6961000"/>
        <n v="2874800"/>
        <n v="5315800"/>
        <n v="3931356"/>
        <n v="1021320"/>
        <n v="2453170"/>
        <n v="4012499"/>
        <n v="6642635"/>
        <n v="4710175"/>
        <n v="9885044"/>
        <n v="6362400"/>
        <n v="5889350"/>
        <n v="6732400"/>
        <n v="7966653"/>
        <n v="12274100"/>
        <n v="3576500"/>
        <n v="3047900"/>
        <n v="4603352"/>
        <n v="5124400"/>
      </sharedItems>
    </cacheField>
    <cacheField name=" 6" numFmtId="0">
      <sharedItems containsNonDate="0" count="2">
        <s v="SELF FUNDING"/>
        <s v="HOME LOAN"/>
      </sharedItems>
    </cacheField>
    <cacheField name=" 7" numFmtId="0">
      <sharedItems containsNonDate="0" containsMixedTypes="1" containsNumber="1" containsInteger="1" count="3">
        <n v="0"/>
        <s v="HDFC"/>
        <s v="SHIVALIK"/>
      </sharedItems>
    </cacheField>
    <cacheField name=" 8" numFmtId="0">
      <sharedItems containsNonDate="0" containsString="0" containsBlank="1" count="1">
        <m/>
      </sharedItems>
    </cacheField>
    <cacheField name=" 9"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214" xr:uid="{00000000-000A-0000-FFFF-FFFF01000000}">
  <cacheSource type="worksheet">
    <worksheetSource ref="C2:L216" sheet="Sold- Prime"/>
  </cacheSource>
  <cacheFields count="10">
    <cacheField name="Customer Name" numFmtId="0">
      <sharedItems containsSemiMixedTypes="0" containsNonDate="0" containsString="0" containsNumber="1" containsInteger="1" minValue="1" maxValue="214" count="21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sharedItems>
    </cacheField>
    <cacheField name="DOB" numFmtId="0">
      <sharedItems containsSemiMixedTypes="0" containsNonDate="0" containsDate="1" containsString="0" minDate="2016-05-17T00:00:00" maxDate="2016-06-10T00:00:00" count="19">
        <d v="2016-05-17T00:00:00"/>
        <d v="2016-05-22T00:00:00"/>
        <d v="2016-05-23T00:00:00"/>
        <d v="2016-05-25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sharedItems>
    </cacheField>
    <cacheField name="Saleable Area" numFmtId="0">
      <sharedItems containsNonDate="0" count="182">
        <s v="Mr. DINESH KUMAR GUPTA"/>
        <s v="Mrs. VEENA CHAINANI"/>
        <s v="Mrs. MAMTA NARWANI"/>
        <s v="Mr. DHARAM SINGH"/>
        <s v="Mr. SURENDRA PAL AJMANI"/>
        <s v="Mrs. PUSHPA BHARWANI"/>
        <s v="Mr. ABHISHEK MENDIRATTA"/>
        <s v="Mr. NISHANT JAISWAL"/>
        <s v="Mrs. NARANGI MEENA"/>
        <s v="Mr. MANOJ SINGH"/>
        <s v="Mrs. SHWETA SONI"/>
        <s v="Ms. SAROJ JOSHI"/>
        <s v="Mr. DINESH CHOUDHARY"/>
        <s v="Mr. YOGENDRA SINGH"/>
        <s v="Mr. GOVIND PRAKASH"/>
        <s v="Mr. SURESH CHAND SHARMA"/>
        <s v="Mr. SUNIL PARETA"/>
        <s v="Mrs. URMILA SHARMA"/>
        <s v="Mr. RAJIV AGARWAL"/>
        <s v="Mrs. GUDDI DEVI MEENA"/>
        <s v="Mr. BHAG CHAND SHARMA"/>
        <s v="Mr. GIRRAJ JANGID"/>
        <s v="Mr. TUSHAR SHARMA"/>
        <s v="Mrs. ANITA SHARMA"/>
        <s v="Mr. MAHENDRA SINGH"/>
        <s v="Mr. MUKESH KHANDELWAL"/>
        <s v="Mr. AKASH SHARMA"/>
        <s v="Mr. MAN MOHAN MEENA"/>
        <s v="Mr. DINESH KUMAR SHARMA"/>
        <s v="Mr. Har LAL Jat"/>
        <s v="Mrs. KAJAL BABLANI"/>
        <s v="Mr. RAJESH SINGH"/>
        <s v="Mr. RAJESH KUMAR VERMA"/>
        <s v="Mr. SATISH DEEVAN"/>
        <s v="Mrs. KAMLESH DEVI"/>
        <s v="Ms. JOLLY TYAGI"/>
        <s v="Mr. LALIT KUMAR KESNANI"/>
        <s v="Mr. GANGADHAR SHIVNANI"/>
        <s v="Mrs. SAPNA BHAWNANI"/>
        <s v="Mrs. KASHISH KESNANI"/>
        <s v="Mr. SURESH KESNANI"/>
        <s v="Mrs. SHEETAL   VARYANI"/>
        <s v="Mr. DINESH BOTHRA"/>
        <s v="Mrs. RASHMI BOTHRA"/>
        <s v="Ms. PRIYANKA MEENA"/>
        <s v="Mrs. SHEELA SHARMA"/>
        <s v="Mrs. Yashoda MEENA"/>
        <s v="Mr. BHAGWAN DAS PARCHANI"/>
        <s v="Mr. Rajesh Aswal"/>
        <s v="Mr. MANISH PARCHANI"/>
        <s v="Mrs. GEETA MEENA"/>
        <s v="Mrs. LEENA JAIKISHAN SHARMA"/>
        <s v="Mr. SATISH RAJ MENDIRATTA"/>
        <s v="Mrs. LEELA SHARMA"/>
        <s v="Mrs. MEENAKSHI CHAWLA"/>
        <s v="Mrs. ASHA DEVI MEENA"/>
        <s v="Mrs. NISHA MEENA"/>
        <s v="Mr. KRISHAN KUMAR SHARMA"/>
        <s v="Mrs. SARALA DEVI"/>
        <s v="Mr. NARENDER SINGH"/>
        <s v="Mr. SUNNY BHATIJA"/>
        <s v="Mr. SUNNY BATHIJA"/>
        <s v="Mrs. INDU SINGH"/>
        <s v="Mr. MANISH KUMAR RUPANI"/>
        <s v="Mr. PRAVEEN KUMAR"/>
        <s v="Mrs. AARTI GARG"/>
        <s v="Mrs. SANDHYA SAWLANI"/>
        <s v="Mr. DILIP KUMAR MADAN"/>
        <s v="Mr. AMARNATH VERMA"/>
        <s v="Mr. TARUN CHANDWANI"/>
        <s v="Mr. RAJNEESH SHARMA"/>
        <s v="Mrs. PARUL SHARMA"/>
        <s v="Mrs. REETA DEVI"/>
        <s v="Mr. GOVIND SHARMA"/>
        <s v="Mr. KUNAL SHARMA"/>
        <s v="Mr. NEERAJ SHARMA"/>
        <s v="Mr. SURESH KUMAR GYAMLANI"/>
        <s v="Mrs. RANI JOHN"/>
        <s v="Mr. MOTI LAL RAO"/>
        <s v="Mr. ABHAY KUMAR JHA"/>
        <s v="Mr. PRADEEP SHARMA"/>
        <s v="Mr. JAGDISH CHANDRA CHOUHAN"/>
        <s v="Mr. AASHISH KHANDELWAL"/>
        <s v="Mr. MANOJ KHANDELWAL"/>
        <s v="Mr. SUNIL MEENA"/>
        <s v="Mr. DINESH CHELLANI"/>
        <s v="Mrs. SUMAN LATA MEENA"/>
        <s v="Mrs. SANTOSH BARWAL"/>
        <s v="Mr. RAJESH SONI"/>
        <s v="Mrs. PREM LATA JAIN"/>
        <s v="Mrs. MOHINI SHARMA"/>
        <s v="Mrs. PREETI SINGH"/>
        <s v="Mr. RAM KISHORE SINGH PARIHAR"/>
        <s v="Mrs. ASHA CHANDNA"/>
        <s v="Mr. RAVINDRA KUMAR"/>
        <s v="Mr. SAHIL   KUMAR"/>
        <s v="Mr. NITIN KUMAR"/>
        <s v="Mr. MANOJ KUMAR"/>
        <s v="Mr. AJAY CHOUDHARY"/>
        <s v="Mr. ARIF AGVAN"/>
        <s v="Mr. OM PRAKASH SHARMA"/>
        <s v="Mr. Dilip Singh Mertiya"/>
        <s v="Mr. ASHISH SHARMA"/>
        <s v="Mrs. KOMAL SHARMA"/>
        <s v="Ms. AKANKSHA VASHISTHA"/>
        <s v="Mr. ABHAY SHARMA"/>
        <s v="Mrs. ALPANA CHAUDHARY"/>
        <s v="Mr. Mohammed Asif Khan"/>
        <s v="Mr. VASU DEV SONI"/>
        <s v="M/s. BRIJ NIVESH"/>
        <s v="Mr. ANITA MEENA"/>
        <s v="Mr. Mahesh Kumar Meena"/>
        <s v="Mrs. LATA TANWANI"/>
        <s v="Mrs. JAYA SHARMA"/>
        <s v="Mr. SHYAM SUNDER KHANDELWAL"/>
        <s v="Mr. MITHUN KUMAR RAIGAR"/>
        <s v="Mr. RAJESH KUMAR"/>
        <s v="Mr. Daya Ram Meena"/>
        <s v="Mrs. BHARTI RAMCHANDANI"/>
        <s v="Mr. RAJESH KUMHAR"/>
        <s v="Mr. SURESH KHANDELWAL"/>
        <s v="Mrs. BHULI DEVI"/>
        <s v="Mrs. JULI AGARWAL"/>
        <s v="Mrs. POONAM SAXENA"/>
        <s v="Mrs. RITA KOTIA"/>
        <s v="Mrs. GOKAL"/>
        <s v="Mr. GHASI LAL RAIGAR"/>
        <s v="Mr. RAM SWAROOP JAKHAR"/>
        <s v="Mr. PRAMOD KUMAR GOYAL"/>
        <s v="Mr. UMMED SINGH CHAUHAN"/>
        <s v="Mr. UTTAM CHAND VARJANI"/>
        <s v="Mr. DEVKI NANDAN SHARMA"/>
        <s v="Mr. RAM AVTAR"/>
        <s v="Mr. RAJMAL NAMDEV"/>
        <s v="Mr. GIRDHARI LAL GUPTA"/>
        <s v="Mr. RAMESH CHAND GUPTA"/>
        <s v="Mr. JAIKISHAN TEWANI"/>
        <s v="Mr. PRAKASH JESWANI"/>
        <s v="Mr. MADAN MOHAN SHARMA"/>
        <s v="Mrs. ANITA LOKWANI"/>
        <s v="Mrs. ANITA MEENA"/>
        <s v="Mr. RAVI PRAKASH SHARMA"/>
        <s v="Mr. KHALAK RAJ MEENA"/>
        <s v="Mr. RAM NARAYAN MEENA"/>
        <s v="Mrs. RATAN BAI"/>
        <s v="Mr. NAHANU"/>
        <s v="Mr. NATHOLI SINGH NIMESH"/>
        <s v="Mrs. RENU ARORA"/>
        <s v="Mr. SANTOSH KUMAR MEENA"/>
        <s v="Mr. LAXMI NARAYAN"/>
        <s v="Mrs. ANKITA SINGH"/>
        <s v="Mr. DHARAM PAL SINGH"/>
        <s v="Mr. MUKESH SHARMA"/>
        <s v="Mr. SURENDRA KHILWANI"/>
        <s v="Mr. SUSHIL KUMAR GUPTA"/>
        <s v="Mr. SHIVAM DHANAWAT"/>
        <s v="Mr. MAHENDRA SAINI"/>
        <s v="Mr. SURENDRA ARORA"/>
        <s v="Mr. ROOP CHAND KATARIYA"/>
        <s v="Mrs. RAJANTI DEVI"/>
        <s v="Mr. GANGA SHARAN SHARMA"/>
        <s v="Mrs. BHUDESH"/>
        <s v="Mrs. Pushpa Devi"/>
        <s v="Mrs. Sunita Kasana"/>
        <s v="Mr. ISHWAR CHAND MEENA"/>
        <s v="Mr. PRABHU LAL MEENA"/>
        <s v="Mrs. DROPATI DEVI"/>
        <s v="Mr. HIMANSHU SHARMA"/>
        <s v="Mrs. MEENA KUMARI MEENA"/>
        <s v="Mr. MUKESH KUMAR MEENA"/>
        <s v="Mr. TARIF HUSSAIN"/>
        <s v="Mr. AJAY SHRIVASTAVA"/>
        <s v="Mr. MANISH GOYAL"/>
        <s v="Mr. RAMESH KUMAR TEWANI"/>
        <s v="Mrs. MEENA DEVI"/>
        <s v="Mrs. ASHA SHARMA"/>
        <s v="Mrs. GEETA CHELANI"/>
        <s v="Mr. RAJENDRA KUMAR VYAS"/>
        <s v="Mr. DINESH CHHABRA"/>
        <s v="Mr. VIJAY KUMAR SHARMA"/>
        <s v="Mr. CHANDRAPRAKASH SHARMA"/>
        <s v="Dr. MAHESH KUMAR SHOU"/>
      </sharedItems>
    </cacheField>
    <cacheField name="Sales Value (Without Tax)" numFmtId="0">
      <sharedItems containsNonDate="0" containsMixedTypes="1" containsNumber="1" containsInteger="1" minValue="1" maxValue="3" count="5">
        <s v="LG"/>
        <n v="2"/>
        <n v="3"/>
        <s v="G"/>
        <n v="1"/>
      </sharedItems>
    </cacheField>
    <cacheField name="Received" numFmtId="0">
      <sharedItems containsNonDate="0" count="214">
        <s v="F-LGF14"/>
        <s v="I-SF16"/>
        <s v="C-K20"/>
        <s v="C-SF09"/>
        <s v="G-GF08"/>
        <s v="A-LGF01"/>
        <s v="C-SF02"/>
        <s v="A-K12A"/>
        <s v="C-K21"/>
        <s v="A-K14"/>
        <s v="A-K12"/>
        <s v="E-K02"/>
        <s v="B-K19"/>
        <s v="G-GF10"/>
        <s v="C-K12"/>
        <s v="C-K11"/>
        <s v="C-SF04"/>
        <s v="D-SF01"/>
        <s v="C-SF05"/>
        <s v="B-K18"/>
        <s v="E-K07"/>
        <s v="A-K02"/>
        <s v="D-K28"/>
        <s v="D-K29"/>
        <s v="E-K05"/>
        <s v="G-GF02"/>
        <s v="A-GF01"/>
        <s v="E-K01"/>
        <s v="E-K04"/>
        <s v="D-K22"/>
        <s v="E-LGF01"/>
        <s v="D-K06"/>
        <s v="G-GF12"/>
        <s v="C-SF01"/>
        <s v="B-SF24"/>
        <s v="D-SF20"/>
        <s v="G-SF12A"/>
        <s v="A-K16"/>
        <s v="A-GF15"/>
        <s v="D-K16"/>
        <s v="A-K19"/>
        <s v="B-K03"/>
        <s v="C-K02"/>
        <s v="D-K15"/>
        <s v="A-K20"/>
        <s v="A-LGF07"/>
        <s v="C-K05"/>
        <s v="C-K04"/>
        <s v="I-LGF21"/>
        <s v="I-LGF16"/>
        <s v="D-K30"/>
        <s v="A-K01"/>
        <s v="A-K25"/>
        <s v="A-K28"/>
        <s v="D-K17"/>
        <s v="B-K11"/>
        <s v="A-GF12"/>
        <s v="B-K10"/>
        <s v="A-K08"/>
        <s v="D-SF11"/>
        <s v="D-K12A"/>
        <s v="D-K27"/>
        <s v="D-K04"/>
        <s v="D-K03"/>
        <s v="A-GF10"/>
        <s v="A-GF07"/>
        <s v="D-K05"/>
        <s v="C-K07"/>
        <s v="D-K14"/>
        <s v="D-K32"/>
        <s v="A-FF16"/>
        <s v="D-K19"/>
        <s v="D-K31"/>
        <s v="D-K24"/>
        <s v="A-GF12A"/>
        <s v="G-LGF08"/>
        <s v="I-SF12A"/>
        <s v="I-SF15"/>
        <s v="G-GF14"/>
        <s v="G-GF07"/>
        <s v="D-K20"/>
        <s v="G-GF04"/>
        <s v="G-GF05"/>
        <s v="G-GF06"/>
        <s v="A-K24"/>
        <s v="C-K17"/>
        <s v="B-K17"/>
        <s v="D-K18"/>
        <s v="B-K26"/>
        <s v="A-K15"/>
        <s v="A-K23"/>
        <s v="C-K10"/>
        <s v="C-K09"/>
        <s v="D-K09"/>
        <s v="A-GF16"/>
        <s v="D-K10"/>
        <s v="D-K11"/>
        <s v="C-K06"/>
        <s v="G-LGF09"/>
        <s v="F-LGF01"/>
        <s v="D-K12"/>
        <s v="G-GF12A"/>
        <s v="G-SF01"/>
        <s v="A-K03"/>
        <s v="C-K16"/>
        <s v="A-K26"/>
        <s v="A-SF01"/>
        <s v="A-K05"/>
        <s v="A-K06"/>
        <s v="A-K04"/>
        <s v="A-K07"/>
        <s v="A-K27"/>
        <s v="D-K01"/>
        <s v="D-K02"/>
        <s v="G-GF16"/>
        <s v="G-GF03"/>
        <s v="G-SF10"/>
        <s v="C-FF18"/>
        <s v="I-LGF01"/>
        <s v="F-GF01"/>
        <s v="F-GF02"/>
        <s v="F-GF03"/>
        <s v="F-GF04"/>
        <s v="F-GF12"/>
        <s v="F-GF12A"/>
        <s v="F-GF14"/>
        <s v="F-GF11"/>
        <s v="C-K01"/>
        <s v="B-K30"/>
        <s v="A-K09"/>
        <s v="G-GF15"/>
        <s v="G-SF12"/>
        <s v="G-SF03"/>
        <s v="D-SF03"/>
        <s v="B-K05"/>
        <s v="B-K24"/>
        <s v="B-K25"/>
        <s v="A-K10"/>
        <s v="I-SF12"/>
        <s v="B-K29"/>
        <s v="D-SF09"/>
        <s v="A-FF14"/>
        <s v="D-K07"/>
        <s v="A-LGF05"/>
        <s v="D-SF04"/>
        <s v="D-SF05"/>
        <s v="B-K12"/>
        <s v="B-K27"/>
        <s v="A-SF02"/>
        <s v="A-FF15"/>
        <s v="H-SF01"/>
        <s v="A-K17"/>
        <s v="G-LGF05"/>
        <s v="G-LGF06"/>
        <s v="G-GF01"/>
        <s v="G-LGF10"/>
        <s v="I-LGF18"/>
        <s v="I-LGF19"/>
        <s v="B-K22"/>
        <s v="B-K21"/>
        <s v="B-GF24"/>
        <s v="B-GF01"/>
        <s v="B-GF02"/>
        <s v="B-GF25"/>
        <s v="B-K16"/>
        <s v="G-SF11"/>
        <s v="C-K26"/>
        <s v="H-FF10"/>
        <s v="F-LGF07"/>
        <s v="F-SF04"/>
        <s v="F-SF08"/>
        <s v="G-LGF15"/>
        <s v="G-LGF04"/>
        <s v="H-SF02"/>
        <s v="I-SF04"/>
        <s v="G-LGF16"/>
        <s v="G-LGF03"/>
        <s v="A-SF09"/>
        <s v="H-GF21"/>
        <s v="G-LGF18"/>
        <s v="G-LGF01"/>
        <s v="H-LGF22"/>
        <s v="I-SF11"/>
        <s v="A-K11"/>
        <s v="I-SF01"/>
        <s v="I-SF19"/>
        <s v="D-SF10"/>
        <s v="G-SF04"/>
        <s v="G-LGF02"/>
        <s v="F-LGF12A"/>
        <s v="F-LGF12"/>
        <s v="F-LGF11"/>
        <s v="F-SF11"/>
        <s v="F-SF07"/>
        <s v="F-LGF04"/>
        <s v="E-K08"/>
        <s v="D-K21"/>
        <s v="D-SF07"/>
        <s v="F-SF06"/>
        <s v="H-SF12"/>
        <s v="B-K28"/>
        <s v="I-LGF11"/>
        <s v="H-SF03"/>
        <s v="C-K19"/>
        <s v="B-K23"/>
        <s v="F-SF05"/>
        <s v="E-K12"/>
        <s v="D-SF08"/>
        <s v="F-SF12"/>
        <s v="A-LGF08"/>
        <s v="E-K11"/>
        <s v="F-SF18"/>
        <s v="H-GF22"/>
        <s v="B-K07"/>
      </sharedItems>
    </cacheField>
    <cacheField name="Receivables" numFmtId="0">
      <sharedItems containsSemiMixedTypes="0" containsNonDate="0" containsString="0" containsNumber="1" minValue="144.24" maxValue="579.72" count="24">
        <n v="579.72"/>
        <n v="275.97000000000003"/>
        <n v="161.82"/>
        <n v="220.78"/>
        <n v="386.36"/>
        <n v="240.65"/>
        <n v="205"/>
        <n v="165.6"/>
        <n v="283.35000000000002"/>
        <n v="144.24"/>
        <n v="331.17"/>
        <n v="205.28"/>
        <n v="181.08"/>
        <n v="165.67"/>
        <n v="164.01"/>
        <n v="157.97999999999999"/>
        <n v="414.08"/>
        <n v="222.62"/>
        <n v="441.56"/>
        <n v="515.19000000000005"/>
        <n v="367.93"/>
        <n v="303.45999999999998"/>
        <n v="216.54"/>
        <n v="248.48"/>
      </sharedItems>
    </cacheField>
    <cacheField name=" " numFmtId="0">
      <sharedItems containsSemiMixedTypes="0" containsNonDate="0" containsString="0" containsNumber="1" containsInteger="1" minValue="479903" maxValue="5598606" count="177">
        <n v="3439956"/>
        <n v="1550836"/>
        <n v="908829"/>
        <n v="820313"/>
        <n v="1104172"/>
        <n v="1315399"/>
        <n v="1262245"/>
        <n v="683506"/>
        <n v="683518"/>
        <n v="1061247"/>
        <n v="916112"/>
        <n v="1066183"/>
        <n v="935160"/>
        <n v="2698627"/>
        <n v="887399"/>
        <n v="887344"/>
        <n v="1273764"/>
        <n v="1209009"/>
        <n v="1273759"/>
        <n v="1066198"/>
        <n v="650625"/>
        <n v="869311"/>
        <n v="869320"/>
        <n v="1066182"/>
        <n v="1984456"/>
        <n v="1560406"/>
        <n v="1066179"/>
        <n v="1066214"/>
        <n v="935154"/>
        <n v="2070451"/>
        <n v="720682"/>
        <n v="2442372"/>
        <n v="1239241"/>
        <n v="1561892"/>
        <n v="1082146"/>
        <n v="1542736"/>
        <n v="916120"/>
        <n v="2551340"/>
        <n v="844557"/>
        <n v="892134"/>
        <n v="938089"/>
        <n v="916174"/>
        <n v="804353"/>
        <n v="3181998"/>
        <n v="517058"/>
        <n v="2601891"/>
        <n v="1789784"/>
        <n v="670845"/>
        <n v="1098591"/>
        <n v="844426"/>
        <n v="1106319"/>
        <n v="707070"/>
        <n v="921449"/>
        <n v="2527017"/>
        <n v="479903"/>
        <n v="1042996"/>
        <n v="935134"/>
        <n v="935164"/>
        <n v="935166"/>
        <n v="935169"/>
        <n v="1137267"/>
        <n v="1553800"/>
        <n v="916118"/>
        <n v="935177"/>
        <n v="957166"/>
        <n v="1771096"/>
        <n v="851176"/>
        <n v="3439582"/>
        <n v="1477472"/>
        <n v="1548896"/>
        <n v="2442207"/>
        <n v="4193268"/>
        <n v="890998"/>
        <n v="4193272"/>
        <n v="765179"/>
        <n v="935529"/>
        <n v="910955"/>
        <n v="888959"/>
        <n v="915169"/>
        <n v="1286897"/>
        <n v="876068"/>
        <n v="935519"/>
        <n v="891485"/>
        <n v="920439"/>
        <n v="1443576"/>
        <n v="741243"/>
        <n v="935162"/>
        <n v="3138981"/>
        <n v="3088586"/>
        <n v="1521511"/>
        <n v="871318"/>
        <n v="1560841"/>
        <n v="925666"/>
        <n v="900133"/>
        <n v="823008"/>
        <n v="959506"/>
        <n v="891001"/>
        <n v="2064506"/>
        <n v="3264443"/>
        <n v="1566969"/>
        <n v="1250981"/>
        <n v="2602023"/>
        <n v="2214868"/>
        <n v="1598008"/>
        <n v="1333408"/>
        <n v="1826455"/>
        <n v="2091055"/>
        <n v="2954696"/>
        <n v="1313302"/>
        <n v="1154486"/>
        <n v="2565843"/>
        <n v="1495022"/>
        <n v="1531005"/>
        <n v="1272235"/>
        <n v="935220"/>
        <n v="917942"/>
        <n v="1566893"/>
        <n v="1217427"/>
        <n v="1273751"/>
        <n v="935176"/>
        <n v="1933604"/>
        <n v="1303039"/>
        <n v="701634"/>
        <n v="938375"/>
        <n v="1545387"/>
        <n v="1495102"/>
        <n v="704436"/>
        <n v="3292151"/>
        <n v="3294027"/>
        <n v="2166611"/>
        <n v="2587092"/>
        <n v="1758135"/>
        <n v="745005"/>
        <n v="4615308"/>
        <n v="5598606"/>
        <n v="2983240"/>
        <n v="3367803"/>
        <n v="711178"/>
        <n v="1230091"/>
        <n v="1867070"/>
        <n v="2207564"/>
        <n v="1495132"/>
        <n v="2166490"/>
        <n v="3293002"/>
        <n v="995139"/>
        <n v="929470"/>
        <n v="3292987"/>
        <n v="924164"/>
        <n v="3170081"/>
        <n v="2172813"/>
        <n v="3293735"/>
        <n v="2813099"/>
        <n v="1104698"/>
        <n v="1567067"/>
        <n v="929863"/>
        <n v="1262324"/>
        <n v="1502326"/>
        <n v="1951920"/>
        <n v="1687071"/>
        <n v="1861720"/>
        <n v="1842646"/>
        <n v="1225670"/>
        <n v="1066248"/>
        <n v="905664"/>
        <n v="1250807"/>
        <n v="1484700"/>
        <n v="1709577"/>
        <n v="2564560"/>
        <n v="996299"/>
        <n v="925236"/>
        <n v="1066247"/>
        <n v="1268842"/>
        <n v="3439779"/>
        <n v="1121684"/>
        <n v="1148163"/>
        <n v="3245822"/>
        <n v="935211"/>
      </sharedItems>
    </cacheField>
    <cacheField name=" 2" numFmtId="0">
      <sharedItems containsSemiMixedTypes="0" containsNonDate="0" containsString="0" containsNumber="1" minValue="479903" maxValue="5598606" count="187">
        <n v="3447956"/>
        <n v="1550836"/>
        <n v="927796"/>
        <n v="832382"/>
        <n v="1104172"/>
        <n v="1315399"/>
        <n v="1262245"/>
        <n v="566544"/>
        <n v="559791"/>
        <n v="794253"/>
        <n v="916112"/>
        <n v="1066183"/>
        <n v="935160"/>
        <n v="2698627"/>
        <n v="887399"/>
        <n v="887344"/>
        <n v="1273764"/>
        <n v="1209009"/>
        <n v="1273759"/>
        <n v="1066198"/>
        <n v="522776"/>
        <n v="869311"/>
        <n v="869320"/>
        <n v="1066182"/>
        <n v="1828055"/>
        <n v="1560406"/>
        <n v="1066179"/>
        <n v="1066211"/>
        <n v="935154"/>
        <n v="2070451"/>
        <n v="720682"/>
        <n v="2442372"/>
        <n v="1239241"/>
        <n v="1561892"/>
        <n v="1082146"/>
        <n v="1542736"/>
        <n v="916120"/>
        <n v="2551340"/>
        <n v="939805"/>
        <n v="892134"/>
        <n v="949521"/>
        <n v="782884"/>
        <n v="804353"/>
        <n v="3209352"/>
        <n v="517058"/>
        <n v="2327305"/>
        <n v="1789784"/>
        <n v="670845"/>
        <n v="1098591"/>
        <n v="844426"/>
        <n v="1106319"/>
        <n v="707070"/>
        <n v="921449"/>
        <n v="2527017"/>
        <n v="479903"/>
        <n v="1042996"/>
        <n v="935134"/>
        <n v="935164"/>
        <n v="935166"/>
        <n v="935169"/>
        <n v="1137267"/>
        <n v="1553800"/>
        <n v="920299"/>
        <n v="937954"/>
        <n v="957218"/>
        <n v="1771096"/>
        <n v="935194"/>
        <n v="957166"/>
        <n v="704135"/>
        <n v="3439582"/>
        <n v="1477472"/>
        <n v="1548896"/>
        <n v="2442207"/>
        <n v="4193268"/>
        <n v="890998"/>
        <n v="4193272"/>
        <n v="601672"/>
        <n v="851468"/>
        <n v="777549"/>
        <n v="888959"/>
        <n v="915169"/>
        <n v="1286897"/>
        <n v="876079"/>
        <n v="935519"/>
        <n v="891485"/>
        <n v="683749"/>
        <n v="1443576"/>
        <n v="741243"/>
        <n v="935109"/>
        <n v="728267"/>
        <n v="3138981"/>
        <n v="3088586"/>
        <n v="1431411"/>
        <n v="733897.28"/>
        <n v="1494158"/>
        <n v="959478"/>
        <n v="963674"/>
        <n v="900133"/>
        <n v="823008"/>
        <n v="836402"/>
        <n v="771970"/>
        <n v="2064506"/>
        <n v="3264443"/>
        <n v="1596463"/>
        <n v="1250981"/>
        <n v="2833381"/>
        <n v="1640800"/>
        <n v="1178012"/>
        <n v="1547914"/>
        <n v="2196283.96"/>
        <n v="1313302"/>
        <n v="1154486"/>
        <n v="782830"/>
        <n v="2565843"/>
        <n v="1495022"/>
        <n v="1531005"/>
        <n v="1274526"/>
        <n v="935220"/>
        <n v="917942"/>
        <n v="1566893"/>
        <n v="1232984"/>
        <n v="1273751"/>
        <n v="935176"/>
        <n v="1933604"/>
        <n v="1272235"/>
        <n v="1303039"/>
        <n v="561480"/>
        <n v="948193"/>
        <n v="1545387"/>
        <n v="1771095"/>
        <n v="1495102"/>
        <n v="704436"/>
        <n v="3355883"/>
        <n v="3294027"/>
        <n v="4295932"/>
        <n v="2187512"/>
        <n v="2587092"/>
        <n v="1758135"/>
        <n v="745005"/>
        <n v="4615308"/>
        <n v="5598606"/>
        <n v="2983240"/>
        <n v="3367803"/>
        <n v="710483"/>
        <n v="1230091"/>
        <n v="1867070"/>
        <n v="2207564"/>
        <n v="1495132"/>
        <n v="2165581"/>
        <n v="3293002"/>
        <n v="998899"/>
        <n v="929470"/>
        <n v="2166369"/>
        <n v="3292987"/>
        <n v="924164"/>
        <n v="3170081"/>
        <n v="2172813"/>
        <n v="3293735"/>
        <n v="2813099"/>
        <n v="1104702"/>
        <n v="916174"/>
        <n v="1567067"/>
        <n v="882069"/>
        <n v="1262324"/>
        <n v="1502326"/>
        <n v="1951920"/>
        <n v="1687071"/>
        <n v="1861720"/>
        <n v="1842646"/>
        <n v="1225670"/>
        <n v="1066248"/>
        <n v="764076"/>
        <n v="1250807"/>
        <n v="1504804"/>
        <n v="1709577"/>
        <n v="2484137"/>
        <n v="996299"/>
        <n v="925236"/>
        <n v="784237"/>
        <n v="1419102"/>
        <n v="1066247"/>
        <n v="1268842"/>
        <n v="3439779"/>
        <n v="1121684"/>
        <n v="1148163"/>
        <n v="3245822"/>
        <n v="786194"/>
      </sharedItems>
    </cacheField>
    <cacheField name=" 3" numFmtId="0">
      <sharedItems containsSemiMixedTypes="0" containsNonDate="0" containsString="0" containsNumber="1" minValue="-231358" maxValue="758412.04" count="62">
        <n v="-8000"/>
        <n v="0"/>
        <n v="-18967"/>
        <n v="-12069"/>
        <n v="116962"/>
        <n v="123727"/>
        <n v="266994"/>
        <n v="127849"/>
        <n v="156401"/>
        <n v="3"/>
        <n v="-95248"/>
        <n v="-11432"/>
        <n v="133290"/>
        <n v="-27354"/>
        <n v="274586"/>
        <n v="-4181"/>
        <n v="-2777"/>
        <n v="-52"/>
        <n v="-30"/>
        <n v="147041"/>
        <n v="163507"/>
        <n v="84061"/>
        <n v="133406"/>
        <n v="-11"/>
        <n v="236690"/>
        <n v="53"/>
        <n v="187851"/>
        <n v="90100"/>
        <n v="137420.72"/>
        <n v="66683"/>
        <n v="-33812"/>
        <n v="-38008"/>
        <n v="123104"/>
        <n v="119031"/>
        <n v="-29494"/>
        <n v="-231358"/>
        <n v="574068"/>
        <n v="419996"/>
        <n v="155396"/>
        <n v="278541"/>
        <n v="543141"/>
        <n v="758412.04"/>
        <n v="-2291"/>
        <n v="-15557"/>
        <n v="140154"/>
        <n v="-9818"/>
        <n v="1"/>
        <n v="-63732"/>
        <n v="-102660"/>
        <n v="-20901"/>
        <n v="695"/>
        <n v="909"/>
        <n v="-3760"/>
        <n v="121"/>
        <n v="-4"/>
        <n v="47794"/>
        <n v="141588"/>
        <n v="-20104"/>
        <n v="80423"/>
        <n v="150983"/>
        <n v="76030"/>
        <n v="149017"/>
      </sharedItems>
    </cacheField>
    <cacheField name=" 4" numFmtId="0">
      <sharedItems containsNonDate="0" containsBlank="1" count="4">
        <m/>
        <s v="HDFC Bank"/>
        <s v="PNB Bank"/>
        <s v="ICICI Bank"/>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214" xr:uid="{00000000-000A-0000-FFFF-FFFF02000000}">
  <cacheSource type="worksheet">
    <worksheetSource ref="C2:L216" sheet="Sold- Prime"/>
  </cacheSource>
  <cacheFields count="15">
    <cacheField name="Customer Name" numFmtId="0">
      <sharedItems containsSemiMixedTypes="0" containsNonDate="0" containsString="0" containsNumber="1" containsInteger="1" minValue="1" maxValue="214" count="21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sharedItems>
    </cacheField>
    <cacheField name="DOB" numFmtId="0">
      <sharedItems containsSemiMixedTypes="0" containsNonDate="0" containsDate="1" containsString="0" minDate="2016-05-17T00:00:00" maxDate="2016-06-10T00:00:00" count="19">
        <d v="2016-05-17T00:00:00"/>
        <d v="2016-05-22T00:00:00"/>
        <d v="2016-05-23T00:00:00"/>
        <d v="2016-05-25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sharedItems>
      <fieldGroup base="1">
        <rangePr groupBy="years" startDate="2016-05-17T00:00:00" endDate="2016-06-10T00:00:00"/>
        <groupItems count="3">
          <s v="&lt;05/17/2016"/>
          <s v="2016"/>
          <s v="&gt;06/10/2016"/>
        </groupItems>
      </fieldGroup>
    </cacheField>
    <cacheField name="Saleable Area" numFmtId="0">
      <sharedItems containsNonDate="0" count="182">
        <s v="Mr. DINESH KUMAR GUPTA"/>
        <s v="Mrs. VEENA CHAINANI"/>
        <s v="Mrs. MAMTA NARWANI"/>
        <s v="Mr. DHARAM SINGH"/>
        <s v="Mr. SURENDRA PAL AJMANI"/>
        <s v="Mrs. PUSHPA BHARWANI"/>
        <s v="Mr. ABHISHEK MENDIRATTA"/>
        <s v="Mr. NISHANT JAISWAL"/>
        <s v="Mrs. NARANGI MEENA"/>
        <s v="Mr. MANOJ SINGH"/>
        <s v="Mrs. SHWETA SONI"/>
        <s v="Ms. SAROJ JOSHI"/>
        <s v="Mr. DINESH CHOUDHARY"/>
        <s v="Mr. YOGENDRA SINGH"/>
        <s v="Mr. GOVIND PRAKASH"/>
        <s v="Mr. SURESH CHAND SHARMA"/>
        <s v="Mr. SUNIL PARETA"/>
        <s v="Mrs. URMILA SHARMA"/>
        <s v="Mr. RAJIV AGARWAL"/>
        <s v="Mrs. GUDDI DEVI MEENA"/>
        <s v="Mr. BHAG CHAND SHARMA"/>
        <s v="Mr. GIRRAJ JANGID"/>
        <s v="Mr. TUSHAR SHARMA"/>
        <s v="Mrs. ANITA SHARMA"/>
        <s v="Mr. MAHENDRA SINGH"/>
        <s v="Mr. MUKESH KHANDELWAL"/>
        <s v="Mr. AKASH SHARMA"/>
        <s v="Mr. MAN MOHAN MEENA"/>
        <s v="Mr. DINESH KUMAR SHARMA"/>
        <s v="Mr. Har LAL Jat"/>
        <s v="Mrs. KAJAL BABLANI"/>
        <s v="Mr. RAJESH SINGH"/>
        <s v="Mr. RAJESH KUMAR VERMA"/>
        <s v="Mr. SATISH DEEVAN"/>
        <s v="Mrs. KAMLESH DEVI"/>
        <s v="Ms. JOLLY TYAGI"/>
        <s v="Mr. LALIT KUMAR KESNANI"/>
        <s v="Mr. GANGADHAR SHIVNANI"/>
        <s v="Mrs. SAPNA BHAWNANI"/>
        <s v="Mrs. KASHISH KESNANI"/>
        <s v="Mr. SURESH KESNANI"/>
        <s v="Mrs. SHEETAL   VARYANI"/>
        <s v="Mr. DINESH BOTHRA"/>
        <s v="Mrs. RASHMI BOTHRA"/>
        <s v="Ms. PRIYANKA MEENA"/>
        <s v="Mrs. SHEELA SHARMA"/>
        <s v="Mrs. Yashoda MEENA"/>
        <s v="Mr. BHAGWAN DAS PARCHANI"/>
        <s v="Mr. Rajesh Aswal"/>
        <s v="Mr. MANISH PARCHANI"/>
        <s v="Mrs. GEETA MEENA"/>
        <s v="Mrs. LEENA JAIKISHAN SHARMA"/>
        <s v="Mr. SATISH RAJ MENDIRATTA"/>
        <s v="Mrs. LEELA SHARMA"/>
        <s v="Mrs. MEENAKSHI CHAWLA"/>
        <s v="Mrs. ASHA DEVI MEENA"/>
        <s v="Mrs. NISHA MEENA"/>
        <s v="Mr. KRISHAN KUMAR SHARMA"/>
        <s v="Mrs. SARALA DEVI"/>
        <s v="Mr. NARENDER SINGH"/>
        <s v="Mr. SUNNY BHATIJA"/>
        <s v="Mr. SUNNY BATHIJA"/>
        <s v="Mrs. INDU SINGH"/>
        <s v="Mr. MANISH KUMAR RUPANI"/>
        <s v="Mr. PRAVEEN KUMAR"/>
        <s v="Mrs. AARTI GARG"/>
        <s v="Mrs. SANDHYA SAWLANI"/>
        <s v="Mr. DILIP KUMAR MADAN"/>
        <s v="Mr. AMARNATH VERMA"/>
        <s v="Mr. TARUN CHANDWANI"/>
        <s v="Mr. RAJNEESH SHARMA"/>
        <s v="Mrs. PARUL SHARMA"/>
        <s v="Mrs. REETA DEVI"/>
        <s v="Mr. GOVIND SHARMA"/>
        <s v="Mr. KUNAL SHARMA"/>
        <s v="Mr. NEERAJ SHARMA"/>
        <s v="Mr. SURESH KUMAR GYAMLANI"/>
        <s v="Mrs. RANI JOHN"/>
        <s v="Mr. MOTI LAL RAO"/>
        <s v="Mr. ABHAY KUMAR JHA"/>
        <s v="Mr. PRADEEP SHARMA"/>
        <s v="Mr. JAGDISH CHANDRA CHOUHAN"/>
        <s v="Mr. AASHISH KHANDELWAL"/>
        <s v="Mr. MANOJ KHANDELWAL"/>
        <s v="Mr. SUNIL MEENA"/>
        <s v="Mr. DINESH CHELLANI"/>
        <s v="Mrs. SUMAN LATA MEENA"/>
        <s v="Mrs. SANTOSH BARWAL"/>
        <s v="Mr. RAJESH SONI"/>
        <s v="Mrs. PREM LATA JAIN"/>
        <s v="Mrs. MOHINI SHARMA"/>
        <s v="Mrs. PREETI SINGH"/>
        <s v="Mr. RAM KISHORE SINGH PARIHAR"/>
        <s v="Mrs. ASHA CHANDNA"/>
        <s v="Mr. RAVINDRA KUMAR"/>
        <s v="Mr. SAHIL   KUMAR"/>
        <s v="Mr. NITIN KUMAR"/>
        <s v="Mr. MANOJ KUMAR"/>
        <s v="Mr. AJAY CHOUDHARY"/>
        <s v="Mr. ARIF AGVAN"/>
        <s v="Mr. OM PRAKASH SHARMA"/>
        <s v="Mr. Dilip Singh Mertiya"/>
        <s v="Mr. ASHISH SHARMA"/>
        <s v="Mrs. KOMAL SHARMA"/>
        <s v="Ms. AKANKSHA VASHISTHA"/>
        <s v="Mr. ABHAY SHARMA"/>
        <s v="Mrs. ALPANA CHAUDHARY"/>
        <s v="Mr. Mohammed Asif Khan"/>
        <s v="Mr. VASU DEV SONI"/>
        <s v="M/s. BRIJ NIVESH"/>
        <s v="Mr. ANITA MEENA"/>
        <s v="Mr. Mahesh Kumar Meena"/>
        <s v="Mrs. LATA TANWANI"/>
        <s v="Mrs. JAYA SHARMA"/>
        <s v="Mr. SHYAM SUNDER KHANDELWAL"/>
        <s v="Mr. MITHUN KUMAR RAIGAR"/>
        <s v="Mr. RAJESH KUMAR"/>
        <s v="Mr. Daya Ram Meena"/>
        <s v="Mrs. BHARTI RAMCHANDANI"/>
        <s v="Mr. RAJESH KUMHAR"/>
        <s v="Mr. SURESH KHANDELWAL"/>
        <s v="Mrs. BHULI DEVI"/>
        <s v="Mrs. JULI AGARWAL"/>
        <s v="Mrs. POONAM SAXENA"/>
        <s v="Mrs. RITA KOTIA"/>
        <s v="Mrs. GOKAL"/>
        <s v="Mr. GHASI LAL RAIGAR"/>
        <s v="Mr. RAM SWAROOP JAKHAR"/>
        <s v="Mr. PRAMOD KUMAR GOYAL"/>
        <s v="Mr. UMMED SINGH CHAUHAN"/>
        <s v="Mr. UTTAM CHAND VARJANI"/>
        <s v="Mr. DEVKI NANDAN SHARMA"/>
        <s v="Mr. RAM AVTAR"/>
        <s v="Mr. RAJMAL NAMDEV"/>
        <s v="Mr. GIRDHARI LAL GUPTA"/>
        <s v="Mr. RAMESH CHAND GUPTA"/>
        <s v="Mr. JAIKISHAN TEWANI"/>
        <s v="Mr. PRAKASH JESWANI"/>
        <s v="Mr. MADAN MOHAN SHARMA"/>
        <s v="Mrs. ANITA LOKWANI"/>
        <s v="Mrs. ANITA MEENA"/>
        <s v="Mr. RAVI PRAKASH SHARMA"/>
        <s v="Mr. KHALAK RAJ MEENA"/>
        <s v="Mr. RAM NARAYAN MEENA"/>
        <s v="Mrs. RATAN BAI"/>
        <s v="Mr. NAHANU"/>
        <s v="Mr. NATHOLI SINGH NIMESH"/>
        <s v="Mrs. RENU ARORA"/>
        <s v="Mr. SANTOSH KUMAR MEENA"/>
        <s v="Mr. LAXMI NARAYAN"/>
        <s v="Mrs. ANKITA SINGH"/>
        <s v="Mr. DHARAM PAL SINGH"/>
        <s v="Mr. MUKESH SHARMA"/>
        <s v="Mr. SURENDRA KHILWANI"/>
        <s v="Mr. SUSHIL KUMAR GUPTA"/>
        <s v="Mr. SHIVAM DHANAWAT"/>
        <s v="Mr. MAHENDRA SAINI"/>
        <s v="Mr. SURENDRA ARORA"/>
        <s v="Mr. ROOP CHAND KATARIYA"/>
        <s v="Mrs. RAJANTI DEVI"/>
        <s v="Mr. GANGA SHARAN SHARMA"/>
        <s v="Mrs. BHUDESH"/>
        <s v="Mrs. Pushpa Devi"/>
        <s v="Mrs. Sunita Kasana"/>
        <s v="Mr. ISHWAR CHAND MEENA"/>
        <s v="Mr. PRABHU LAL MEENA"/>
        <s v="Mrs. DROPATI DEVI"/>
        <s v="Mr. HIMANSHU SHARMA"/>
        <s v="Mrs. MEENA KUMARI MEENA"/>
        <s v="Mr. MUKESH KUMAR MEENA"/>
        <s v="Mr. TARIF HUSSAIN"/>
        <s v="Mr. AJAY SHRIVASTAVA"/>
        <s v="Mr. MANISH GOYAL"/>
        <s v="Mr. RAMESH KUMAR TEWANI"/>
        <s v="Mrs. MEENA DEVI"/>
        <s v="Mrs. ASHA SHARMA"/>
        <s v="Mrs. GEETA CHELANI"/>
        <s v="Mr. RAJENDRA KUMAR VYAS"/>
        <s v="Mr. DINESH CHHABRA"/>
        <s v="Mr. VIJAY KUMAR SHARMA"/>
        <s v="Mr. CHANDRAPRAKASH SHARMA"/>
        <s v="Dr. MAHESH KUMAR SHOU"/>
      </sharedItems>
    </cacheField>
    <cacheField name="Sales Value (Without Tax)" numFmtId="0">
      <sharedItems containsNonDate="0" containsMixedTypes="1" containsNumber="1" containsInteger="1" minValue="1" maxValue="3" count="5">
        <s v="LG"/>
        <n v="2"/>
        <n v="3"/>
        <s v="G"/>
        <n v="1"/>
      </sharedItems>
    </cacheField>
    <cacheField name="Received" numFmtId="0">
      <sharedItems containsNonDate="0" count="214">
        <s v="F-LGF14"/>
        <s v="I-SF16"/>
        <s v="C-K20"/>
        <s v="C-SF09"/>
        <s v="G-GF08"/>
        <s v="A-LGF01"/>
        <s v="C-SF02"/>
        <s v="A-K12A"/>
        <s v="C-K21"/>
        <s v="A-K14"/>
        <s v="A-K12"/>
        <s v="E-K02"/>
        <s v="B-K19"/>
        <s v="G-GF10"/>
        <s v="C-K12"/>
        <s v="C-K11"/>
        <s v="C-SF04"/>
        <s v="D-SF01"/>
        <s v="C-SF05"/>
        <s v="B-K18"/>
        <s v="E-K07"/>
        <s v="A-K02"/>
        <s v="D-K28"/>
        <s v="D-K29"/>
        <s v="E-K05"/>
        <s v="G-GF02"/>
        <s v="A-GF01"/>
        <s v="E-K01"/>
        <s v="E-K04"/>
        <s v="D-K22"/>
        <s v="E-LGF01"/>
        <s v="D-K06"/>
        <s v="G-GF12"/>
        <s v="C-SF01"/>
        <s v="B-SF24"/>
        <s v="D-SF20"/>
        <s v="G-SF12A"/>
        <s v="A-K16"/>
        <s v="A-GF15"/>
        <s v="D-K16"/>
        <s v="A-K19"/>
        <s v="B-K03"/>
        <s v="C-K02"/>
        <s v="D-K15"/>
        <s v="A-K20"/>
        <s v="A-LGF07"/>
        <s v="C-K05"/>
        <s v="C-K04"/>
        <s v="I-LGF21"/>
        <s v="I-LGF16"/>
        <s v="D-K30"/>
        <s v="A-K01"/>
        <s v="A-K25"/>
        <s v="A-K28"/>
        <s v="D-K17"/>
        <s v="B-K11"/>
        <s v="A-GF12"/>
        <s v="B-K10"/>
        <s v="A-K08"/>
        <s v="D-SF11"/>
        <s v="D-K12A"/>
        <s v="D-K27"/>
        <s v="D-K04"/>
        <s v="D-K03"/>
        <s v="A-GF10"/>
        <s v="A-GF07"/>
        <s v="D-K05"/>
        <s v="C-K07"/>
        <s v="D-K14"/>
        <s v="D-K32"/>
        <s v="A-FF16"/>
        <s v="D-K19"/>
        <s v="D-K31"/>
        <s v="D-K24"/>
        <s v="A-GF12A"/>
        <s v="G-LGF08"/>
        <s v="I-SF12A"/>
        <s v="I-SF15"/>
        <s v="G-GF14"/>
        <s v="G-GF07"/>
        <s v="D-K20"/>
        <s v="G-GF04"/>
        <s v="G-GF05"/>
        <s v="G-GF06"/>
        <s v="A-K24"/>
        <s v="C-K17"/>
        <s v="B-K17"/>
        <s v="D-K18"/>
        <s v="B-K26"/>
        <s v="A-K15"/>
        <s v="A-K23"/>
        <s v="C-K10"/>
        <s v="C-K09"/>
        <s v="D-K09"/>
        <s v="A-GF16"/>
        <s v="D-K10"/>
        <s v="D-K11"/>
        <s v="C-K06"/>
        <s v="G-LGF09"/>
        <s v="F-LGF01"/>
        <s v="D-K12"/>
        <s v="G-GF12A"/>
        <s v="G-SF01"/>
        <s v="A-K03"/>
        <s v="C-K16"/>
        <s v="A-K26"/>
        <s v="A-SF01"/>
        <s v="A-K05"/>
        <s v="A-K06"/>
        <s v="A-K04"/>
        <s v="A-K07"/>
        <s v="A-K27"/>
        <s v="D-K01"/>
        <s v="D-K02"/>
        <s v="G-GF16"/>
        <s v="G-GF03"/>
        <s v="G-SF10"/>
        <s v="C-FF18"/>
        <s v="I-LGF01"/>
        <s v="F-GF01"/>
        <s v="F-GF02"/>
        <s v="F-GF03"/>
        <s v="F-GF04"/>
        <s v="F-GF12"/>
        <s v="F-GF12A"/>
        <s v="F-GF14"/>
        <s v="F-GF11"/>
        <s v="C-K01"/>
        <s v="B-K30"/>
        <s v="A-K09"/>
        <s v="G-GF15"/>
        <s v="G-SF12"/>
        <s v="G-SF03"/>
        <s v="D-SF03"/>
        <s v="B-K05"/>
        <s v="B-K24"/>
        <s v="B-K25"/>
        <s v="A-K10"/>
        <s v="I-SF12"/>
        <s v="B-K29"/>
        <s v="D-SF09"/>
        <s v="A-FF14"/>
        <s v="D-K07"/>
        <s v="A-LGF05"/>
        <s v="D-SF04"/>
        <s v="D-SF05"/>
        <s v="B-K12"/>
        <s v="B-K27"/>
        <s v="A-SF02"/>
        <s v="A-FF15"/>
        <s v="H-SF01"/>
        <s v="A-K17"/>
        <s v="G-LGF05"/>
        <s v="G-LGF06"/>
        <s v="G-GF01"/>
        <s v="G-LGF10"/>
        <s v="I-LGF18"/>
        <s v="I-LGF19"/>
        <s v="B-K22"/>
        <s v="B-K21"/>
        <s v="B-GF24"/>
        <s v="B-GF01"/>
        <s v="B-GF02"/>
        <s v="B-GF25"/>
        <s v="B-K16"/>
        <s v="G-SF11"/>
        <s v="C-K26"/>
        <s v="H-FF10"/>
        <s v="F-LGF07"/>
        <s v="F-SF04"/>
        <s v="F-SF08"/>
        <s v="G-LGF15"/>
        <s v="G-LGF04"/>
        <s v="H-SF02"/>
        <s v="I-SF04"/>
        <s v="G-LGF16"/>
        <s v="G-LGF03"/>
        <s v="A-SF09"/>
        <s v="H-GF21"/>
        <s v="G-LGF18"/>
        <s v="G-LGF01"/>
        <s v="H-LGF22"/>
        <s v="I-SF11"/>
        <s v="A-K11"/>
        <s v="I-SF01"/>
        <s v="I-SF19"/>
        <s v="D-SF10"/>
        <s v="G-SF04"/>
        <s v="G-LGF02"/>
        <s v="F-LGF12A"/>
        <s v="F-LGF12"/>
        <s v="F-LGF11"/>
        <s v="F-SF11"/>
        <s v="F-SF07"/>
        <s v="F-LGF04"/>
        <s v="E-K08"/>
        <s v="D-K21"/>
        <s v="D-SF07"/>
        <s v="F-SF06"/>
        <s v="H-SF12"/>
        <s v="B-K28"/>
        <s v="I-LGF11"/>
        <s v="H-SF03"/>
        <s v="C-K19"/>
        <s v="B-K23"/>
        <s v="F-SF05"/>
        <s v="E-K12"/>
        <s v="D-SF08"/>
        <s v="F-SF12"/>
        <s v="A-LGF08"/>
        <s v="E-K11"/>
        <s v="F-SF18"/>
        <s v="H-GF22"/>
        <s v="B-K07"/>
      </sharedItems>
    </cacheField>
    <cacheField name="Receivables" numFmtId="0">
      <sharedItems containsSemiMixedTypes="0" containsNonDate="0" containsString="0" containsNumber="1" minValue="144.24" maxValue="579.72" count="24">
        <n v="579.72"/>
        <n v="275.97000000000003"/>
        <n v="161.82"/>
        <n v="220.78"/>
        <n v="386.36"/>
        <n v="240.65"/>
        <n v="205"/>
        <n v="165.6"/>
        <n v="283.35000000000002"/>
        <n v="144.24"/>
        <n v="331.17"/>
        <n v="205.28"/>
        <n v="181.08"/>
        <n v="165.67"/>
        <n v="164.01"/>
        <n v="157.97999999999999"/>
        <n v="414.08"/>
        <n v="222.62"/>
        <n v="441.56"/>
        <n v="515.19000000000005"/>
        <n v="367.93"/>
        <n v="303.45999999999998"/>
        <n v="216.54"/>
        <n v="248.48"/>
      </sharedItems>
    </cacheField>
    <cacheField name=" " numFmtId="0">
      <sharedItems containsSemiMixedTypes="0" containsNonDate="0" containsString="0" containsNumber="1" containsInteger="1" minValue="479903" maxValue="5598606" count="177">
        <n v="3439956"/>
        <n v="1550836"/>
        <n v="908829"/>
        <n v="820313"/>
        <n v="1104172"/>
        <n v="1315399"/>
        <n v="1262245"/>
        <n v="683506"/>
        <n v="683518"/>
        <n v="1061247"/>
        <n v="916112"/>
        <n v="1066183"/>
        <n v="935160"/>
        <n v="2698627"/>
        <n v="887399"/>
        <n v="887344"/>
        <n v="1273764"/>
        <n v="1209009"/>
        <n v="1273759"/>
        <n v="1066198"/>
        <n v="650625"/>
        <n v="869311"/>
        <n v="869320"/>
        <n v="1066182"/>
        <n v="1984456"/>
        <n v="1560406"/>
        <n v="1066179"/>
        <n v="1066214"/>
        <n v="935154"/>
        <n v="2070451"/>
        <n v="720682"/>
        <n v="2442372"/>
        <n v="1239241"/>
        <n v="1561892"/>
        <n v="1082146"/>
        <n v="1542736"/>
        <n v="916120"/>
        <n v="2551340"/>
        <n v="844557"/>
        <n v="892134"/>
        <n v="938089"/>
        <n v="916174"/>
        <n v="804353"/>
        <n v="3181998"/>
        <n v="517058"/>
        <n v="2601891"/>
        <n v="1789784"/>
        <n v="670845"/>
        <n v="1098591"/>
        <n v="844426"/>
        <n v="1106319"/>
        <n v="707070"/>
        <n v="921449"/>
        <n v="2527017"/>
        <n v="479903"/>
        <n v="1042996"/>
        <n v="935134"/>
        <n v="935164"/>
        <n v="935166"/>
        <n v="935169"/>
        <n v="1137267"/>
        <n v="1553800"/>
        <n v="916118"/>
        <n v="935177"/>
        <n v="957166"/>
        <n v="1771096"/>
        <n v="851176"/>
        <n v="3439582"/>
        <n v="1477472"/>
        <n v="1548896"/>
        <n v="2442207"/>
        <n v="4193268"/>
        <n v="890998"/>
        <n v="4193272"/>
        <n v="765179"/>
        <n v="935529"/>
        <n v="910955"/>
        <n v="888959"/>
        <n v="915169"/>
        <n v="1286897"/>
        <n v="876068"/>
        <n v="935519"/>
        <n v="891485"/>
        <n v="920439"/>
        <n v="1443576"/>
        <n v="741243"/>
        <n v="935162"/>
        <n v="3138981"/>
        <n v="3088586"/>
        <n v="1521511"/>
        <n v="871318"/>
        <n v="1560841"/>
        <n v="925666"/>
        <n v="900133"/>
        <n v="823008"/>
        <n v="959506"/>
        <n v="891001"/>
        <n v="2064506"/>
        <n v="3264443"/>
        <n v="1566969"/>
        <n v="1250981"/>
        <n v="2602023"/>
        <n v="2214868"/>
        <n v="1598008"/>
        <n v="1333408"/>
        <n v="1826455"/>
        <n v="2091055"/>
        <n v="2954696"/>
        <n v="1313302"/>
        <n v="1154486"/>
        <n v="2565843"/>
        <n v="1495022"/>
        <n v="1531005"/>
        <n v="1272235"/>
        <n v="935220"/>
        <n v="917942"/>
        <n v="1566893"/>
        <n v="1217427"/>
        <n v="1273751"/>
        <n v="935176"/>
        <n v="1933604"/>
        <n v="1303039"/>
        <n v="701634"/>
        <n v="938375"/>
        <n v="1545387"/>
        <n v="1495102"/>
        <n v="704436"/>
        <n v="3292151"/>
        <n v="3294027"/>
        <n v="2166611"/>
        <n v="2587092"/>
        <n v="1758135"/>
        <n v="745005"/>
        <n v="4615308"/>
        <n v="5598606"/>
        <n v="2983240"/>
        <n v="3367803"/>
        <n v="711178"/>
        <n v="1230091"/>
        <n v="1867070"/>
        <n v="2207564"/>
        <n v="1495132"/>
        <n v="2166490"/>
        <n v="3293002"/>
        <n v="995139"/>
        <n v="929470"/>
        <n v="3292987"/>
        <n v="924164"/>
        <n v="3170081"/>
        <n v="2172813"/>
        <n v="3293735"/>
        <n v="2813099"/>
        <n v="1104698"/>
        <n v="1567067"/>
        <n v="929863"/>
        <n v="1262324"/>
        <n v="1502326"/>
        <n v="1951920"/>
        <n v="1687071"/>
        <n v="1861720"/>
        <n v="1842646"/>
        <n v="1225670"/>
        <n v="1066248"/>
        <n v="905664"/>
        <n v="1250807"/>
        <n v="1484700"/>
        <n v="1709577"/>
        <n v="2564560"/>
        <n v="996299"/>
        <n v="925236"/>
        <n v="1066247"/>
        <n v="1268842"/>
        <n v="3439779"/>
        <n v="1121684"/>
        <n v="1148163"/>
        <n v="3245822"/>
        <n v="935211"/>
      </sharedItems>
    </cacheField>
    <cacheField name=" 2" numFmtId="0">
      <sharedItems containsSemiMixedTypes="0" containsNonDate="0" containsString="0" containsNumber="1" minValue="479903" maxValue="5598606" count="187">
        <n v="3447956"/>
        <n v="1550836"/>
        <n v="927796"/>
        <n v="832382"/>
        <n v="1104172"/>
        <n v="1315399"/>
        <n v="1262245"/>
        <n v="566544"/>
        <n v="559791"/>
        <n v="794253"/>
        <n v="916112"/>
        <n v="1066183"/>
        <n v="935160"/>
        <n v="2698627"/>
        <n v="887399"/>
        <n v="887344"/>
        <n v="1273764"/>
        <n v="1209009"/>
        <n v="1273759"/>
        <n v="1066198"/>
        <n v="522776"/>
        <n v="869311"/>
        <n v="869320"/>
        <n v="1066182"/>
        <n v="1828055"/>
        <n v="1560406"/>
        <n v="1066179"/>
        <n v="1066211"/>
        <n v="935154"/>
        <n v="2070451"/>
        <n v="720682"/>
        <n v="2442372"/>
        <n v="1239241"/>
        <n v="1561892"/>
        <n v="1082146"/>
        <n v="1542736"/>
        <n v="916120"/>
        <n v="2551340"/>
        <n v="939805"/>
        <n v="892134"/>
        <n v="949521"/>
        <n v="782884"/>
        <n v="804353"/>
        <n v="3209352"/>
        <n v="517058"/>
        <n v="2327305"/>
        <n v="1789784"/>
        <n v="670845"/>
        <n v="1098591"/>
        <n v="844426"/>
        <n v="1106319"/>
        <n v="707070"/>
        <n v="921449"/>
        <n v="2527017"/>
        <n v="479903"/>
        <n v="1042996"/>
        <n v="935134"/>
        <n v="935164"/>
        <n v="935166"/>
        <n v="935169"/>
        <n v="1137267"/>
        <n v="1553800"/>
        <n v="920299"/>
        <n v="937954"/>
        <n v="957218"/>
        <n v="1771096"/>
        <n v="935194"/>
        <n v="957166"/>
        <n v="704135"/>
        <n v="3439582"/>
        <n v="1477472"/>
        <n v="1548896"/>
        <n v="2442207"/>
        <n v="4193268"/>
        <n v="890998"/>
        <n v="4193272"/>
        <n v="601672"/>
        <n v="851468"/>
        <n v="777549"/>
        <n v="888959"/>
        <n v="915169"/>
        <n v="1286897"/>
        <n v="876079"/>
        <n v="935519"/>
        <n v="891485"/>
        <n v="683749"/>
        <n v="1443576"/>
        <n v="741243"/>
        <n v="935109"/>
        <n v="728267"/>
        <n v="3138981"/>
        <n v="3088586"/>
        <n v="1431411"/>
        <n v="733897.28"/>
        <n v="1494158"/>
        <n v="959478"/>
        <n v="963674"/>
        <n v="900133"/>
        <n v="823008"/>
        <n v="836402"/>
        <n v="771970"/>
        <n v="2064506"/>
        <n v="3264443"/>
        <n v="1596463"/>
        <n v="1250981"/>
        <n v="2833381"/>
        <n v="1640800"/>
        <n v="1178012"/>
        <n v="1547914"/>
        <n v="2196283.96"/>
        <n v="1313302"/>
        <n v="1154486"/>
        <n v="782830"/>
        <n v="2565843"/>
        <n v="1495022"/>
        <n v="1531005"/>
        <n v="1274526"/>
        <n v="935220"/>
        <n v="917942"/>
        <n v="1566893"/>
        <n v="1232984"/>
        <n v="1273751"/>
        <n v="935176"/>
        <n v="1933604"/>
        <n v="1272235"/>
        <n v="1303039"/>
        <n v="561480"/>
        <n v="948193"/>
        <n v="1545387"/>
        <n v="1771095"/>
        <n v="1495102"/>
        <n v="704436"/>
        <n v="3355883"/>
        <n v="3294027"/>
        <n v="4295932"/>
        <n v="2187512"/>
        <n v="2587092"/>
        <n v="1758135"/>
        <n v="745005"/>
        <n v="4615308"/>
        <n v="5598606"/>
        <n v="2983240"/>
        <n v="3367803"/>
        <n v="710483"/>
        <n v="1230091"/>
        <n v="1867070"/>
        <n v="2207564"/>
        <n v="1495132"/>
        <n v="2165581"/>
        <n v="3293002"/>
        <n v="998899"/>
        <n v="929470"/>
        <n v="2166369"/>
        <n v="3292987"/>
        <n v="924164"/>
        <n v="3170081"/>
        <n v="2172813"/>
        <n v="3293735"/>
        <n v="2813099"/>
        <n v="1104702"/>
        <n v="916174"/>
        <n v="1567067"/>
        <n v="882069"/>
        <n v="1262324"/>
        <n v="1502326"/>
        <n v="1951920"/>
        <n v="1687071"/>
        <n v="1861720"/>
        <n v="1842646"/>
        <n v="1225670"/>
        <n v="1066248"/>
        <n v="764076"/>
        <n v="1250807"/>
        <n v="1504804"/>
        <n v="1709577"/>
        <n v="2484137"/>
        <n v="996299"/>
        <n v="925236"/>
        <n v="784237"/>
        <n v="1419102"/>
        <n v="1066247"/>
        <n v="1268842"/>
        <n v="3439779"/>
        <n v="1121684"/>
        <n v="1148163"/>
        <n v="3245822"/>
        <n v="786194"/>
      </sharedItems>
    </cacheField>
    <cacheField name=" 3" numFmtId="0">
      <sharedItems containsSemiMixedTypes="0" containsNonDate="0" containsString="0" containsNumber="1" minValue="-231358" maxValue="758412.04" count="62">
        <n v="-8000"/>
        <n v="0"/>
        <n v="-18967"/>
        <n v="-12069"/>
        <n v="116962"/>
        <n v="123727"/>
        <n v="266994"/>
        <n v="127849"/>
        <n v="156401"/>
        <n v="3"/>
        <n v="-95248"/>
        <n v="-11432"/>
        <n v="133290"/>
        <n v="-27354"/>
        <n v="274586"/>
        <n v="-4181"/>
        <n v="-2777"/>
        <n v="-52"/>
        <n v="-30"/>
        <n v="147041"/>
        <n v="163507"/>
        <n v="84061"/>
        <n v="133406"/>
        <n v="-11"/>
        <n v="236690"/>
        <n v="53"/>
        <n v="187851"/>
        <n v="90100"/>
        <n v="137420.72"/>
        <n v="66683"/>
        <n v="-33812"/>
        <n v="-38008"/>
        <n v="123104"/>
        <n v="119031"/>
        <n v="-29494"/>
        <n v="-231358"/>
        <n v="574068"/>
        <n v="419996"/>
        <n v="155396"/>
        <n v="278541"/>
        <n v="543141"/>
        <n v="758412.04"/>
        <n v="-2291"/>
        <n v="-15557"/>
        <n v="140154"/>
        <n v="-9818"/>
        <n v="1"/>
        <n v="-63732"/>
        <n v="-102660"/>
        <n v="-20901"/>
        <n v="695"/>
        <n v="909"/>
        <n v="-3760"/>
        <n v="121"/>
        <n v="-4"/>
        <n v="47794"/>
        <n v="141588"/>
        <n v="-20104"/>
        <n v="80423"/>
        <n v="150983"/>
        <n v="76030"/>
        <n v="149017"/>
      </sharedItems>
    </cacheField>
    <cacheField name=" 4" numFmtId="0">
      <sharedItems containsNonDate="0" containsString="0" containsBlank="1" count="1">
        <m/>
      </sharedItems>
    </cacheField>
    <cacheField name=" 5" numFmtId="0">
      <sharedItems containsNonDate="0" containsString="0" containsBlank="1" count="1">
        <m/>
      </sharedItems>
    </cacheField>
    <cacheField name=" 6" numFmtId="0">
      <sharedItems containsNonDate="0" containsString="0" containsBlank="1" count="1">
        <m/>
      </sharedItems>
    </cacheField>
    <cacheField name=" 7" numFmtId="0">
      <sharedItems containsNonDate="0" containsString="0" containsBlank="1" count="1">
        <m/>
      </sharedItems>
    </cacheField>
    <cacheField name="Quarters" numFmtId="0" databaseField="0">
      <fieldGroup base="1">
        <rangePr groupBy="quarters" startDate="2016-05-17T00:00:00" endDate="2016-06-10T00:00:00"/>
        <groupItems count="6">
          <s v="&lt;05/17/2016"/>
          <s v="Q4"/>
          <s v="Q1"/>
          <s v="Q2"/>
          <s v="Q3"/>
          <s v="&gt;06/10/2016"/>
        </groupItems>
      </fieldGroup>
    </cacheField>
    <cacheField name="Months" numFmtId="0" databaseField="0">
      <fieldGroup base="1">
        <rangePr groupBy="months" startDate="2016-05-17T00:00:00" endDate="2016-06-10T00:00:00"/>
        <groupItems count="14">
          <s v="&lt;05/17/2016"/>
          <s v="Dec"/>
          <s v="Jan"/>
          <s v="Feb"/>
          <s v="Mar"/>
          <s v="Apr"/>
          <s v="May"/>
          <s v="Jun"/>
          <s v="Jul"/>
          <s v="Aug"/>
          <s v="Sep"/>
          <s v="Oct"/>
          <s v="Nov"/>
          <s v="&gt;06/10/201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116" xr:uid="{00000000-000A-0000-FFFF-FFFF03000000}">
  <cacheSource type="worksheet">
    <worksheetSource ref="A2:K118" sheet="Sold- Prime"/>
  </cacheSource>
  <cacheFields count="12">
    <cacheField name="S No." numFmtId="0">
      <sharedItems containsSemiMixedTypes="0" containsNonDate="0" containsString="0" containsNumber="1" containsInteger="1" minValue="1" maxValue="116" count="11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sharedItems>
    </cacheField>
    <cacheField name="Unit No" numFmtId="0">
      <sharedItems containsNonDate="0" count="116">
        <s v="PLOT NO - 01"/>
        <s v="PLOT NO - 02"/>
        <s v="PLOT NO - 03"/>
        <s v="PLOT NO - 04"/>
        <s v="PLOT NO - 05"/>
        <s v="PLOT NO - 06"/>
        <s v="PLOT NO - 07"/>
        <s v="PLOT NO - 08"/>
        <s v="PLOT NO - 09"/>
        <s v="PLOT NO - 10"/>
        <s v="PLOT NO - 100"/>
        <s v="PLOT NO - 101"/>
        <s v="PLOT NO - 102"/>
        <s v="PLOT NO - 103"/>
        <s v="PLOT NO - 104"/>
        <s v="PLOT NO - 105"/>
        <s v="PLOT NO - 106"/>
        <s v="PLOT NO - 107"/>
        <s v="PLOT NO - 108"/>
        <s v="PLOT NO - 109"/>
        <s v="PLOT NO - 11"/>
        <s v="PLOT NO - 110"/>
        <s v="PLOT NO - 111"/>
        <s v="PLOT NO - 112"/>
        <s v="PLOT NO - 113"/>
        <s v="PLOT NO - 114"/>
        <s v="PLOT NO - 115"/>
        <s v="PLOT NO - 116"/>
        <s v="PLOT NO - 117"/>
        <s v="PLOT NO - 118"/>
        <s v="PLOT NO - 119"/>
        <s v="PLOT NO - 12"/>
        <s v="PLOT NO - 120"/>
        <s v="PLOT NO - 121"/>
        <s v="PLOT NO - 122"/>
        <s v="PLOT NO - 123"/>
        <s v="PLOT NO - 124"/>
        <s v="PLOT NO - 125"/>
        <s v="PLOT NO - 126"/>
        <s v="PLOT NO - 127"/>
        <s v="PLOT NO - 128"/>
        <s v="PLOT NO - 129"/>
        <s v="PLOT NO - 12A"/>
        <s v="PLOT NO - 130"/>
        <s v="PLOT NO - 131"/>
        <s v="PLOT NO - 132"/>
        <s v="PLOT NO - 133"/>
        <s v="PLOT NO - 134"/>
        <s v="PLOT NO - 135"/>
        <s v="PLOT NO - 136"/>
        <s v="PLOT NO - 137"/>
        <s v="PLOT NO - 138"/>
        <s v="PLOT NO - 139"/>
        <s v="PLOT NO - 14"/>
        <s v="PLOT NO - 140"/>
        <s v="PLOT NO - 141"/>
        <s v="PLOT NO - 142"/>
        <s v="PLOT NO - 143"/>
        <s v="PLOT NO - 144"/>
        <s v="PLOT NO - 145"/>
        <s v="PLOT NO - 146"/>
        <s v="PLOT NO - 147"/>
        <s v="PLOT NO - 148"/>
        <s v="PLOT NO - 149"/>
        <s v="PLOT NO - 15"/>
        <s v="PLOT NO - 150"/>
        <s v="PLOT NO - 151"/>
        <s v="PLOT NO - 152"/>
        <s v="PLOT NO - 153"/>
        <s v="PLOT NO - 154"/>
        <s v="PLOT NO - 155"/>
        <s v="PLOT NO - 156"/>
        <s v="PLOT NO - 157"/>
        <s v="PLOT NO - 158"/>
        <s v="PLOT NO - 159"/>
        <s v="PLOT NO - 16"/>
        <s v="PLOT NO - 160"/>
        <s v="PLOT NO - 161"/>
        <s v="PLOT NO - 162"/>
        <s v="PLOT NO - 163"/>
        <s v="PLOT NO - 164"/>
        <s v="PLOT NO - 165"/>
        <s v="PLOT NO - 166"/>
        <s v="PLOT NO - 167"/>
        <s v="PLOT NO - 168"/>
        <s v="PLOT NO - 169"/>
        <s v="PLOT NO - 17"/>
        <s v="PLOT NO - 170"/>
        <s v="PLOT NO - 171"/>
        <s v="PLOT NO - 172"/>
        <s v="PLOT NO - 173"/>
        <s v="PLOT NO - 174"/>
        <s v="PLOT NO - 175"/>
        <s v="PLOT NO - 176"/>
        <s v="PLOT NO - 177"/>
        <s v="PLOT NO - 178"/>
        <s v="PLOT NO - 179"/>
        <s v="PLOT NO - 18"/>
        <s v="PLOT NO - 180"/>
        <s v="PLOT NO - 19"/>
        <s v="PLOT NO - 20"/>
        <s v="PLOT NO - 21"/>
        <s v="PLOT NO - 22"/>
        <s v="PLOT NO - 23"/>
        <s v="PLOT NO - 42"/>
        <s v="PLOT NO - 43"/>
        <s v="PLOT NO - 44"/>
        <s v="PLOT NO - 45"/>
        <s v="PLOT NO - 46"/>
        <s v="PLOT NO - 47"/>
        <s v="PLOT NO - 48"/>
        <s v="PLOT NO - 49"/>
        <s v="PLOT NO - 50"/>
        <s v="PLOT NO - 97"/>
        <s v="PLOT NO - 98"/>
        <s v="PLOT NO - 99"/>
      </sharedItems>
    </cacheField>
    <cacheField name="Customer Name" numFmtId="0">
      <sharedItems containsNonDate="0" count="108">
        <s v="Amar Singh Bhadauria"/>
        <s v="Abhishek Yadav"/>
        <s v="Anju Yadav"/>
        <s v="Raj Kumar"/>
        <s v="Rajpal Singh"/>
        <s v="Harsh Singh"/>
        <s v="Santosh"/>
        <s v="Harsh Rathore"/>
        <s v="Kunal Chopra"/>
        <s v="Ankur Jain"/>
        <s v="Rohit Lohchab"/>
        <s v="Sandeep Kumar Mishra"/>
        <s v="Annu Yadav"/>
        <s v="Khajan Singh Yadav"/>
        <s v="Tara Chand"/>
        <s v="Meenu Chopra"/>
        <s v="Roshan Ara"/>
        <s v="Mukesh Saini"/>
        <s v="Shyam Lal Mahajan"/>
        <s v="Vinay Kumar"/>
        <s v="Ranju Ray"/>
        <s v="Nirmala"/>
        <s v="Jitender Kumar Sharma"/>
        <s v="Sharma Kalwant"/>
        <s v="Priyanka"/>
        <s v="Chetan Prakash"/>
        <s v="Ninder Jit Singh Chandhoke"/>
        <s v="Manoj Pande"/>
        <s v="Kamla Kant Pande"/>
        <s v="Santosh Devi Aggarwal"/>
        <s v="Nitish Kumar Chand"/>
        <s v="Shashi Sahni"/>
        <s v="Vivek Kumar"/>
        <s v="Shradha Sharma"/>
        <s v="Satyawan Dhariwal"/>
        <s v="Ashwani Kumar"/>
        <s v="Sandeep Kumar"/>
        <s v="Lalit Kalra"/>
        <s v="Monika Bhagat"/>
        <s v="Jagat Ram Arora"/>
        <s v="Anu Bala"/>
        <s v="Arun Kumar Rohilla"/>
        <s v="Umesh Kumar Sharma"/>
        <s v="Sukhdev Singh"/>
        <s v="Devender Kumar"/>
        <s v="Mahesh Dahiya"/>
        <s v="Kamlesh"/>
        <s v="Vijay Kumar Ahuja"/>
        <s v="Naveen Kumar Goyal"/>
        <s v="Kusum Chaudhary"/>
        <s v="Sumit Kumar"/>
        <s v="Nitin Uppal"/>
        <s v="Rajkamal Singh Bhatia"/>
        <s v="Aruna Bhatia"/>
        <s v="Kritika Jaiswal"/>
        <s v="Renu Gill"/>
        <s v="Pooja Singh"/>
        <s v="Dikshit Khanna"/>
        <s v="Vishal Kwatra"/>
        <s v="Deepak Ahuja"/>
        <s v="Ravinder Kumar Saini"/>
        <s v="Meetesh Narula"/>
        <s v="Sheetal Narula"/>
        <s v="Jyotsana"/>
        <s v="Hari Krishan Kukreti"/>
        <s v="Anoop Kumar"/>
        <s v="Renu Dhankhar"/>
        <s v="Neeraj Mohan"/>
        <s v="Anish Yadav"/>
        <s v="Pushplata Yadav"/>
        <s v="Nimesh Saini"/>
        <s v="Madhu Yadav"/>
        <s v="Monika Garg"/>
        <s v="Meena"/>
        <s v="Krishan Lather"/>
        <s v="Harish Singh Rawat"/>
        <s v="Taranpreet Kaur"/>
        <s v="Rajiv Yadav"/>
        <s v="Uma Gupta"/>
        <s v="Pinki Devi"/>
        <s v="Ashok Kumar"/>
        <s v="Priya"/>
        <s v="Kanhaiya Kumar"/>
        <s v="Sunil Kumar"/>
        <s v="Minakshi Chauhan"/>
        <s v="Anita Yadav"/>
        <s v="Monika Singh"/>
        <s v="Vinod Kumar"/>
        <s v="Sonia Palta"/>
        <s v="Ved Parkash"/>
        <s v="Lalit Chopra"/>
        <s v="Amit Kumar"/>
        <s v="Harpreet Kaur"/>
        <s v="Krishna Dahiya"/>
        <s v="Rimpy Goel"/>
        <s v="Rekha Rani"/>
        <s v="Chirag Bhandula"/>
        <s v="Abhishek Sharma"/>
        <s v="Dharmendra Dubey"/>
        <s v="Chander Kishor"/>
        <s v="Anil Kumar Srivastava"/>
        <s v="Varun Chauhan"/>
        <s v="Satpal"/>
        <s v="Satbir"/>
        <s v="Srishti Bishnoi"/>
        <s v="Abhishek Vats"/>
        <s v="Suman Dhankhar"/>
        <s v="Amarpal"/>
      </sharedItems>
    </cacheField>
    <cacheField name="DOB" numFmtId="0">
      <sharedItems containsSemiMixedTypes="0" containsNonDate="0" containsDate="1" containsString="0" minDate="2021-01-27T00:00:00" maxDate="2021-10-11T00:00:00" count="68">
        <d v="2021-06-08T00:00:00"/>
        <d v="2021-02-09T00:00:00"/>
        <d v="2021-03-17T00:00:00"/>
        <d v="2021-04-01T00:00:00"/>
        <d v="2021-06-25T00:00:00"/>
        <d v="2021-02-26T00:00:00"/>
        <d v="2021-02-17T00:00:00"/>
        <d v="2021-06-07T00:00:00"/>
        <d v="2021-02-22T00:00:00"/>
        <d v="2021-02-05T00:00:00"/>
        <d v="2021-02-18T00:00:00"/>
        <d v="2021-02-03T00:00:00"/>
        <d v="2021-04-05T00:00:00"/>
        <d v="2021-06-21T00:00:00"/>
        <d v="2021-02-15T00:00:00"/>
        <d v="2021-08-12T00:00:00"/>
        <d v="2021-02-01T00:00:00"/>
        <d v="2021-02-02T00:00:00"/>
        <d v="2021-02-06T00:00:00"/>
        <d v="2021-04-16T00:00:00"/>
        <d v="2021-03-02T00:00:00"/>
        <d v="2021-08-16T00:00:00"/>
        <d v="2021-02-19T00:00:00"/>
        <d v="2021-02-08T00:00:00"/>
        <d v="2021-03-16T00:00:00"/>
        <d v="2021-02-16T00:00:00"/>
        <d v="2021-01-27T00:00:00"/>
        <d v="2021-03-03T00:00:00"/>
        <d v="2021-06-28T00:00:00"/>
        <d v="2021-02-04T00:00:00"/>
        <d v="2021-03-06T00:00:00"/>
        <d v="2021-03-25T00:00:00"/>
        <d v="2021-03-18T00:00:00"/>
        <d v="2021-07-06T00:00:00"/>
        <d v="2021-04-12T00:00:00"/>
        <d v="2021-02-20T00:00:00"/>
        <d v="2021-02-25T00:00:00"/>
        <d v="2021-07-03T00:00:00"/>
        <d v="2021-03-28T00:00:00"/>
        <d v="2021-03-01T00:00:00"/>
        <d v="2021-03-15T00:00:00"/>
        <d v="2021-02-28T00:00:00"/>
        <d v="2021-10-02T00:00:00"/>
        <d v="2021-06-04T00:00:00"/>
        <d v="2021-03-08T00:00:00"/>
        <d v="2021-03-24T00:00:00"/>
        <d v="2021-09-07T00:00:00"/>
        <d v="2021-03-23T00:00:00"/>
        <d v="2021-04-26T00:00:00"/>
        <d v="2021-07-02T00:00:00"/>
        <d v="2021-03-09T00:00:00"/>
        <d v="2021-02-11T00:00:00"/>
        <d v="2021-03-26T00:00:00"/>
        <d v="2021-04-04T00:00:00"/>
        <d v="2021-04-13T00:00:00"/>
        <d v="2021-06-17T00:00:00"/>
        <d v="2021-10-11T00:00:00"/>
        <d v="2021-10-03T00:00:00"/>
        <d v="2021-03-30T00:00:00"/>
        <d v="2021-06-14T00:00:00"/>
        <d v="2021-04-07T00:00:00"/>
        <d v="2021-04-15T00:00:00"/>
        <d v="2021-04-14T00:00:00"/>
        <d v="2021-03-21T00:00:00"/>
        <d v="2021-04-29T00:00:00"/>
        <d v="2021-08-09T00:00:00"/>
        <d v="2021-07-26T00:00:00"/>
        <d v="2021-03-31T00:00:00"/>
      </sharedItems>
      <fieldGroup base="3">
        <rangePr groupBy="months" startDate="2021-01-27T00:00:00" endDate="2021-10-11T00:00:00"/>
        <groupItems count="14">
          <s v="&lt;01/27/2021"/>
          <s v="Dec"/>
          <s v="Jan"/>
          <s v="Feb"/>
          <s v="Mar"/>
          <s v="Apr"/>
          <s v="May"/>
          <s v="Jun"/>
          <s v="Jul"/>
          <s v="Aug"/>
          <s v="Sep"/>
          <s v="Oct"/>
          <s v="Nov"/>
          <s v="&gt;10/11/2021"/>
        </groupItems>
      </fieldGroup>
    </cacheField>
    <cacheField name="Saleable Area" numFmtId="0">
      <sharedItems containsSemiMixedTypes="0" containsNonDate="0" containsString="0" containsNumber="1" minValue="105.48" maxValue="121.274" count="3">
        <n v="121.274"/>
        <n v="105.48"/>
        <n v="109.613"/>
      </sharedItems>
    </cacheField>
    <cacheField name="Sales Value (Without Tax)" numFmtId="0">
      <sharedItems containsSemiMixedTypes="0" containsNonDate="0" containsString="0" containsNumber="1" containsInteger="1" minValue="3480807" maxValue="6762117" count="74">
        <n v="4438628"/>
        <n v="5509114"/>
        <n v="5881789"/>
        <n v="4002042"/>
        <n v="5457330"/>
        <n v="5639241"/>
        <n v="5821152"/>
        <n v="6519690"/>
        <n v="6762117"/>
        <n v="6318396"/>
        <n v="6241003"/>
        <n v="5549498"/>
        <n v="3820131"/>
        <n v="6633688"/>
        <n v="5863355"/>
        <n v="5978808"/>
        <n v="4244590"/>
        <n v="6091350"/>
        <n v="4062679"/>
        <n v="5942426"/>
        <n v="5916837"/>
        <n v="4982300"/>
        <n v="6124337"/>
        <n v="4850960"/>
        <n v="5736260"/>
        <n v="4487138"/>
        <n v="6609433"/>
        <n v="5578604"/>
        <n v="5512389"/>
        <n v="5585032"/>
        <n v="5699878"/>
        <n v="5503050"/>
        <n v="5733471"/>
        <n v="4972234"/>
        <n v="5672955"/>
        <n v="5913321"/>
        <n v="5321139"/>
        <n v="5386263"/>
        <n v="5956251"/>
        <n v="5419722"/>
        <n v="4682213"/>
        <n v="5385652"/>
        <n v="5221211"/>
        <n v="3480807"/>
        <n v="5379429"/>
        <n v="4430118"/>
        <n v="4510282"/>
        <n v="5115732"/>
        <n v="4063051"/>
        <n v="5169786"/>
        <n v="5042198"/>
        <n v="5590263"/>
        <n v="4695602"/>
        <n v="5863719"/>
        <n v="5490923"/>
        <n v="5093508"/>
        <n v="5497472"/>
        <n v="4139688"/>
        <n v="6027318"/>
        <n v="4815184"/>
        <n v="6245611"/>
        <n v="6003063"/>
        <n v="6063700"/>
        <n v="5563687"/>
        <n v="6337779"/>
        <n v="6427401"/>
        <n v="5795927"/>
        <n v="6235303"/>
        <n v="6694346"/>
        <n v="5966681"/>
        <n v="4900197"/>
        <n v="6512414"/>
        <n v="4254292"/>
        <n v="6138526"/>
      </sharedItems>
    </cacheField>
    <cacheField name="Received" numFmtId="0">
      <sharedItems containsSemiMixedTypes="0" containsNonDate="0" containsString="0" containsNumber="1" minValue="821376" maxValue="6249967" count="97">
        <n v="1697836"/>
        <n v="4994581"/>
        <n v="5376562"/>
        <n v="5329694"/>
        <n v="3475068"/>
        <n v="4947979"/>
        <n v="5111698"/>
        <n v="5275417"/>
        <n v="3638218"/>
        <n v="4380224"/>
        <n v="6249967"/>
        <n v="5845176"/>
        <n v="5783053"/>
        <n v="2200000"/>
        <n v="3153123"/>
        <n v="821376"/>
        <n v="6166298"/>
        <n v="5313398"/>
        <n v="5417311"/>
        <n v="1698000"/>
        <n v="1819110"/>
        <n v="5518597"/>
        <n v="5275411"/>
        <n v="3693000"/>
        <n v="5384569"/>
        <n v="5480383"/>
        <n v="4520452"/>
        <n v="5548288"/>
        <n v="4402246"/>
        <n v="2564945"/>
        <n v="3692795"/>
        <n v="4074808"/>
        <n v="2668025"/>
        <n v="2668028"/>
        <n v="2607391"/>
        <n v="2005000"/>
        <n v="2728665"/>
        <n v="5057123"/>
        <n v="5157128"/>
        <n v="3485096"/>
        <n v="4713411"/>
        <n v="2489330"/>
        <n v="4818701"/>
        <n v="3638219"/>
        <n v="3692794"/>
        <n v="4940017"/>
        <n v="2448350"/>
        <n v="5329993"/>
        <n v="5349310"/>
        <n v="4511389"/>
        <n v="5166274"/>
        <n v="2533292"/>
        <n v="5358370"/>
        <n v="2357384"/>
        <n v="5057122"/>
        <n v="4884016.45"/>
        <n v="5397007.3799999999"/>
        <n v="2446164"/>
        <n v="4245637"/>
        <n v="4878733"/>
        <n v="4730737"/>
        <n v="3164368"/>
        <n v="4873126"/>
        <n v="4018770.2"/>
        <n v="4090900"/>
        <n v="4635805"/>
        <n v="3688393"/>
        <n v="2321170"/>
        <n v="4570859"/>
        <n v="5064122"/>
        <n v="4258928"/>
        <n v="5313731"/>
        <n v="4978210"/>
        <n v="4620541"/>
        <n v="4983835"/>
        <n v="3762103"/>
        <n v="2608478"/>
        <n v="5460971"/>
        <n v="2104407"/>
        <n v="5650265.2599999998"/>
        <n v="5439136"/>
        <n v="5043703"/>
        <n v="1728154"/>
        <n v="5868061"/>
        <n v="2910515"/>
        <n v="2910000"/>
        <n v="3924794"/>
        <n v="5373000"/>
        <n v="6220917"/>
        <n v="4724835"/>
        <n v="2146913"/>
        <n v="2698346"/>
        <n v="5275426"/>
        <n v="4026300"/>
        <n v="6133368"/>
        <n v="3935874"/>
        <n v="5691445"/>
      </sharedItems>
    </cacheField>
    <cacheField name="Receivables" numFmtId="0">
      <sharedItems containsSemiMixedTypes="0" containsNonDate="0" containsString="0" containsNumber="1" minValue="316439" maxValue="3880768" count="98">
        <n v="2740792"/>
        <n v="514533"/>
        <n v="505227"/>
        <n v="552095"/>
        <n v="526974"/>
        <n v="509351"/>
        <n v="527543"/>
        <n v="545735"/>
        <n v="363824"/>
        <n v="2139466"/>
        <n v="512150"/>
        <n v="473220"/>
        <n v="457950"/>
        <n v="3349498"/>
        <n v="848919"/>
        <n v="2998755"/>
        <n v="467390"/>
        <n v="549957"/>
        <n v="561497"/>
        <n v="2304042"/>
        <n v="2425480"/>
        <n v="572753"/>
        <n v="545741"/>
        <n v="369679"/>
        <n v="557857"/>
        <n v="436454"/>
        <n v="461848"/>
        <n v="576049"/>
        <n v="448714"/>
        <n v="3171315"/>
        <n v="369884"/>
        <n v="412330"/>
        <n v="3274401"/>
        <n v="3274398"/>
        <n v="3213761"/>
        <n v="1997042"/>
        <n v="3880768"/>
        <n v="521481"/>
        <n v="355261"/>
        <n v="1972234"/>
        <n v="1107741"/>
        <n v="3095702"/>
        <n v="881177"/>
        <n v="363823"/>
        <n v="369885"/>
        <n v="517313"/>
        <n v="3054700"/>
        <n v="551796"/>
        <n v="384161"/>
        <n v="460845"/>
        <n v="533604"/>
        <n v="3139663"/>
        <n v="554951"/>
        <n v="2963755"/>
        <n v="521482"/>
        <n v="502246.55"/>
        <n v="559243.62"/>
        <n v="2973558"/>
        <n v="436576"/>
        <n v="506919"/>
        <n v="490474"/>
        <n v="316439"/>
        <n v="506303"/>
        <n v="411347.8"/>
        <n v="419382"/>
        <n v="479927"/>
        <n v="374658"/>
        <n v="2848616"/>
        <n v="471339"/>
        <n v="526141"/>
        <n v="436674"/>
        <n v="549988"/>
        <n v="512713"/>
        <n v="472967"/>
        <n v="513637"/>
        <n v="377585"/>
        <n v="3212674"/>
        <n v="566347"/>
        <n v="2710777"/>
        <n v="595345.74"/>
        <n v="563927"/>
        <n v="3335035"/>
        <n v="519984"/>
        <n v="2334525"/>
        <n v="469718"/>
        <n v="3516886"/>
        <n v="3517401"/>
        <n v="1871133"/>
        <n v="862303"/>
        <n v="473429"/>
        <n v="1241846"/>
        <n v="2753284"/>
        <n v="3304717"/>
        <n v="545726"/>
        <n v="1916126"/>
        <n v="379046"/>
        <n v="318418"/>
        <n v="447081"/>
      </sharedItems>
    </cacheField>
    <cacheField name=" " numFmtId="0">
      <sharedItems containsNonDate="0" containsBlank="1" count="3">
        <m/>
        <s v="ICICI BANK"/>
        <s v="AXIS BANK"/>
      </sharedItems>
    </cacheField>
    <cacheField name=" 2" numFmtId="0">
      <sharedItems containsNonDate="0" containsString="0" containsBlank="1" count="1">
        <m/>
      </sharedItems>
    </cacheField>
    <cacheField name=" 3" numFmtId="0">
      <sharedItems containsNonDate="0" containsString="0" containsBlank="1" count="1">
        <m/>
      </sharedItems>
    </cacheField>
    <cacheField name="Days" numFmtId="0" databaseField="0">
      <fieldGroup base="3">
        <rangePr groupBy="days" startDate="2021-01-27T00:00:00" endDate="2021-10-11T00:00:00"/>
        <groupItems count="368">
          <s v="&lt;01/27/2021"/>
          <s v="31-Dec"/>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gt;10/11/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r="http://schemas.openxmlformats.org/officeDocument/2006/relationships" xmlns="http://schemas.openxmlformats.org/spreadsheetml/2006/main" count="53">
  <r>
    <x v="0"/>
    <x v="0"/>
    <x v="0"/>
    <x v="0"/>
    <x v="0"/>
    <x v="0"/>
    <x v="0"/>
    <x v="0"/>
    <x v="0"/>
    <x v="0"/>
    <x v="0"/>
    <x v="0"/>
    <x v="0"/>
    <x v="0"/>
    <x v="0"/>
    <x v="0"/>
  </r>
  <r>
    <x v="1"/>
    <x v="0"/>
    <x v="0"/>
    <x v="1"/>
    <x v="1"/>
    <x v="0"/>
    <x v="1"/>
    <x v="1"/>
    <x v="1"/>
    <x v="1"/>
    <x v="1"/>
    <x v="1"/>
    <x v="0"/>
    <x v="0"/>
    <x v="0"/>
    <x v="0"/>
  </r>
  <r>
    <x v="2"/>
    <x v="0"/>
    <x v="1"/>
    <x v="2"/>
    <x v="1"/>
    <x v="0"/>
    <x v="2"/>
    <x v="2"/>
    <x v="1"/>
    <x v="2"/>
    <x v="2"/>
    <x v="2"/>
    <x v="0"/>
    <x v="0"/>
    <x v="0"/>
    <x v="0"/>
  </r>
  <r>
    <x v="3"/>
    <x v="0"/>
    <x v="2"/>
    <x v="3"/>
    <x v="0"/>
    <x v="0"/>
    <x v="3"/>
    <x v="3"/>
    <x v="2"/>
    <x v="3"/>
    <x v="3"/>
    <x v="3"/>
    <x v="0"/>
    <x v="0"/>
    <x v="0"/>
    <x v="0"/>
  </r>
  <r>
    <x v="4"/>
    <x v="0"/>
    <x v="3"/>
    <x v="4"/>
    <x v="0"/>
    <x v="0"/>
    <x v="4"/>
    <x v="4"/>
    <x v="3"/>
    <x v="4"/>
    <x v="4"/>
    <x v="4"/>
    <x v="0"/>
    <x v="0"/>
    <x v="0"/>
    <x v="0"/>
  </r>
  <r>
    <x v="5"/>
    <x v="0"/>
    <x v="4"/>
    <x v="5"/>
    <x v="0"/>
    <x v="0"/>
    <x v="5"/>
    <x v="5"/>
    <x v="4"/>
    <x v="5"/>
    <x v="5"/>
    <x v="5"/>
    <x v="0"/>
    <x v="0"/>
    <x v="0"/>
    <x v="0"/>
  </r>
  <r>
    <x v="6"/>
    <x v="0"/>
    <x v="5"/>
    <x v="6"/>
    <x v="0"/>
    <x v="0"/>
    <x v="6"/>
    <x v="6"/>
    <x v="5"/>
    <x v="6"/>
    <x v="6"/>
    <x v="6"/>
    <x v="0"/>
    <x v="0"/>
    <x v="0"/>
    <x v="0"/>
  </r>
  <r>
    <x v="7"/>
    <x v="0"/>
    <x v="1"/>
    <x v="7"/>
    <x v="0"/>
    <x v="0"/>
    <x v="7"/>
    <x v="7"/>
    <x v="3"/>
    <x v="7"/>
    <x v="7"/>
    <x v="7"/>
    <x v="0"/>
    <x v="0"/>
    <x v="0"/>
    <x v="0"/>
  </r>
  <r>
    <x v="8"/>
    <x v="0"/>
    <x v="6"/>
    <x v="8"/>
    <x v="0"/>
    <x v="0"/>
    <x v="8"/>
    <x v="8"/>
    <x v="2"/>
    <x v="8"/>
    <x v="8"/>
    <x v="8"/>
    <x v="0"/>
    <x v="0"/>
    <x v="0"/>
    <x v="0"/>
  </r>
  <r>
    <x v="9"/>
    <x v="0"/>
    <x v="6"/>
    <x v="9"/>
    <x v="0"/>
    <x v="0"/>
    <x v="9"/>
    <x v="9"/>
    <x v="0"/>
    <x v="9"/>
    <x v="9"/>
    <x v="9"/>
    <x v="0"/>
    <x v="0"/>
    <x v="0"/>
    <x v="0"/>
  </r>
  <r>
    <x v="10"/>
    <x v="0"/>
    <x v="6"/>
    <x v="10"/>
    <x v="1"/>
    <x v="0"/>
    <x v="10"/>
    <x v="10"/>
    <x v="6"/>
    <x v="10"/>
    <x v="4"/>
    <x v="10"/>
    <x v="0"/>
    <x v="0"/>
    <x v="0"/>
    <x v="0"/>
  </r>
  <r>
    <x v="11"/>
    <x v="0"/>
    <x v="2"/>
    <x v="11"/>
    <x v="1"/>
    <x v="0"/>
    <x v="11"/>
    <x v="11"/>
    <x v="1"/>
    <x v="11"/>
    <x v="10"/>
    <x v="11"/>
    <x v="1"/>
    <x v="1"/>
    <x v="0"/>
    <x v="0"/>
  </r>
  <r>
    <x v="12"/>
    <x v="0"/>
    <x v="1"/>
    <x v="12"/>
    <x v="0"/>
    <x v="0"/>
    <x v="12"/>
    <x v="12"/>
    <x v="2"/>
    <x v="3"/>
    <x v="11"/>
    <x v="12"/>
    <x v="0"/>
    <x v="0"/>
    <x v="0"/>
    <x v="0"/>
  </r>
  <r>
    <x v="13"/>
    <x v="0"/>
    <x v="1"/>
    <x v="13"/>
    <x v="1"/>
    <x v="0"/>
    <x v="13"/>
    <x v="13"/>
    <x v="6"/>
    <x v="12"/>
    <x v="12"/>
    <x v="13"/>
    <x v="0"/>
    <x v="0"/>
    <x v="0"/>
    <x v="0"/>
  </r>
  <r>
    <x v="14"/>
    <x v="0"/>
    <x v="4"/>
    <x v="14"/>
    <x v="0"/>
    <x v="0"/>
    <x v="14"/>
    <x v="14"/>
    <x v="2"/>
    <x v="13"/>
    <x v="13"/>
    <x v="14"/>
    <x v="0"/>
    <x v="0"/>
    <x v="0"/>
    <x v="0"/>
  </r>
  <r>
    <x v="15"/>
    <x v="0"/>
    <x v="0"/>
    <x v="15"/>
    <x v="0"/>
    <x v="0"/>
    <x v="15"/>
    <x v="15"/>
    <x v="2"/>
    <x v="14"/>
    <x v="14"/>
    <x v="15"/>
    <x v="0"/>
    <x v="0"/>
    <x v="0"/>
    <x v="0"/>
  </r>
  <r>
    <x v="16"/>
    <x v="0"/>
    <x v="3"/>
    <x v="16"/>
    <x v="0"/>
    <x v="0"/>
    <x v="16"/>
    <x v="16"/>
    <x v="4"/>
    <x v="15"/>
    <x v="15"/>
    <x v="16"/>
    <x v="0"/>
    <x v="0"/>
    <x v="0"/>
    <x v="0"/>
  </r>
  <r>
    <x v="17"/>
    <x v="0"/>
    <x v="2"/>
    <x v="17"/>
    <x v="0"/>
    <x v="0"/>
    <x v="17"/>
    <x v="17"/>
    <x v="7"/>
    <x v="16"/>
    <x v="16"/>
    <x v="17"/>
    <x v="0"/>
    <x v="0"/>
    <x v="0"/>
    <x v="0"/>
  </r>
  <r>
    <x v="18"/>
    <x v="0"/>
    <x v="1"/>
    <x v="18"/>
    <x v="0"/>
    <x v="0"/>
    <x v="18"/>
    <x v="18"/>
    <x v="7"/>
    <x v="17"/>
    <x v="0"/>
    <x v="18"/>
    <x v="0"/>
    <x v="0"/>
    <x v="0"/>
    <x v="0"/>
  </r>
  <r>
    <x v="19"/>
    <x v="0"/>
    <x v="6"/>
    <x v="19"/>
    <x v="0"/>
    <x v="0"/>
    <x v="19"/>
    <x v="19"/>
    <x v="7"/>
    <x v="18"/>
    <x v="17"/>
    <x v="19"/>
    <x v="0"/>
    <x v="0"/>
    <x v="0"/>
    <x v="0"/>
  </r>
  <r>
    <x v="20"/>
    <x v="0"/>
    <x v="5"/>
    <x v="20"/>
    <x v="2"/>
    <x v="0"/>
    <x v="20"/>
    <x v="20"/>
    <x v="8"/>
    <x v="19"/>
    <x v="18"/>
    <x v="20"/>
    <x v="0"/>
    <x v="0"/>
    <x v="0"/>
    <x v="0"/>
  </r>
  <r>
    <x v="21"/>
    <x v="0"/>
    <x v="5"/>
    <x v="21"/>
    <x v="0"/>
    <x v="0"/>
    <x v="21"/>
    <x v="21"/>
    <x v="9"/>
    <x v="20"/>
    <x v="19"/>
    <x v="21"/>
    <x v="0"/>
    <x v="0"/>
    <x v="0"/>
    <x v="0"/>
  </r>
  <r>
    <x v="22"/>
    <x v="0"/>
    <x v="5"/>
    <x v="22"/>
    <x v="1"/>
    <x v="0"/>
    <x v="22"/>
    <x v="22"/>
    <x v="1"/>
    <x v="21"/>
    <x v="20"/>
    <x v="22"/>
    <x v="0"/>
    <x v="0"/>
    <x v="0"/>
    <x v="0"/>
  </r>
  <r>
    <x v="23"/>
    <x v="0"/>
    <x v="6"/>
    <x v="23"/>
    <x v="1"/>
    <x v="0"/>
    <x v="23"/>
    <x v="23"/>
    <x v="1"/>
    <x v="22"/>
    <x v="21"/>
    <x v="23"/>
    <x v="0"/>
    <x v="0"/>
    <x v="0"/>
    <x v="0"/>
  </r>
  <r>
    <x v="24"/>
    <x v="0"/>
    <x v="6"/>
    <x v="24"/>
    <x v="0"/>
    <x v="0"/>
    <x v="24"/>
    <x v="24"/>
    <x v="4"/>
    <x v="23"/>
    <x v="22"/>
    <x v="24"/>
    <x v="0"/>
    <x v="0"/>
    <x v="0"/>
    <x v="0"/>
  </r>
  <r>
    <x v="25"/>
    <x v="0"/>
    <x v="4"/>
    <x v="25"/>
    <x v="0"/>
    <x v="0"/>
    <x v="25"/>
    <x v="25"/>
    <x v="3"/>
    <x v="24"/>
    <x v="23"/>
    <x v="25"/>
    <x v="0"/>
    <x v="0"/>
    <x v="0"/>
    <x v="0"/>
  </r>
  <r>
    <x v="26"/>
    <x v="0"/>
    <x v="2"/>
    <x v="26"/>
    <x v="0"/>
    <x v="0"/>
    <x v="26"/>
    <x v="26"/>
    <x v="4"/>
    <x v="25"/>
    <x v="24"/>
    <x v="26"/>
    <x v="1"/>
    <x v="1"/>
    <x v="0"/>
    <x v="0"/>
  </r>
  <r>
    <x v="27"/>
    <x v="0"/>
    <x v="1"/>
    <x v="27"/>
    <x v="0"/>
    <x v="0"/>
    <x v="27"/>
    <x v="27"/>
    <x v="0"/>
    <x v="26"/>
    <x v="24"/>
    <x v="27"/>
    <x v="0"/>
    <x v="0"/>
    <x v="0"/>
    <x v="0"/>
  </r>
  <r>
    <x v="28"/>
    <x v="0"/>
    <x v="4"/>
    <x v="28"/>
    <x v="0"/>
    <x v="0"/>
    <x v="28"/>
    <x v="28"/>
    <x v="0"/>
    <x v="27"/>
    <x v="25"/>
    <x v="28"/>
    <x v="0"/>
    <x v="0"/>
    <x v="0"/>
    <x v="0"/>
  </r>
  <r>
    <x v="29"/>
    <x v="0"/>
    <x v="6"/>
    <x v="29"/>
    <x v="0"/>
    <x v="0"/>
    <x v="29"/>
    <x v="29"/>
    <x v="3"/>
    <x v="28"/>
    <x v="26"/>
    <x v="29"/>
    <x v="1"/>
    <x v="1"/>
    <x v="0"/>
    <x v="0"/>
  </r>
  <r>
    <x v="30"/>
    <x v="0"/>
    <x v="3"/>
    <x v="30"/>
    <x v="0"/>
    <x v="0"/>
    <x v="30"/>
    <x v="30"/>
    <x v="2"/>
    <x v="29"/>
    <x v="27"/>
    <x v="30"/>
    <x v="1"/>
    <x v="2"/>
    <x v="0"/>
    <x v="0"/>
  </r>
  <r>
    <x v="31"/>
    <x v="0"/>
    <x v="0"/>
    <x v="31"/>
    <x v="0"/>
    <x v="0"/>
    <x v="31"/>
    <x v="31"/>
    <x v="7"/>
    <x v="30"/>
    <x v="28"/>
    <x v="31"/>
    <x v="1"/>
    <x v="2"/>
    <x v="0"/>
    <x v="0"/>
  </r>
  <r>
    <x v="32"/>
    <x v="0"/>
    <x v="3"/>
    <x v="32"/>
    <x v="0"/>
    <x v="0"/>
    <x v="32"/>
    <x v="32"/>
    <x v="0"/>
    <x v="31"/>
    <x v="29"/>
    <x v="32"/>
    <x v="1"/>
    <x v="2"/>
    <x v="0"/>
    <x v="0"/>
  </r>
  <r>
    <x v="33"/>
    <x v="0"/>
    <x v="4"/>
    <x v="33"/>
    <x v="1"/>
    <x v="0"/>
    <x v="33"/>
    <x v="33"/>
    <x v="1"/>
    <x v="32"/>
    <x v="30"/>
    <x v="33"/>
    <x v="1"/>
    <x v="1"/>
    <x v="0"/>
    <x v="0"/>
  </r>
  <r>
    <x v="34"/>
    <x v="0"/>
    <x v="3"/>
    <x v="34"/>
    <x v="1"/>
    <x v="0"/>
    <x v="34"/>
    <x v="34"/>
    <x v="6"/>
    <x v="33"/>
    <x v="31"/>
    <x v="34"/>
    <x v="1"/>
    <x v="1"/>
    <x v="0"/>
    <x v="0"/>
  </r>
  <r>
    <x v="35"/>
    <x v="0"/>
    <x v="3"/>
    <x v="35"/>
    <x v="0"/>
    <x v="0"/>
    <x v="35"/>
    <x v="35"/>
    <x v="10"/>
    <x v="34"/>
    <x v="32"/>
    <x v="35"/>
    <x v="0"/>
    <x v="0"/>
    <x v="0"/>
    <x v="0"/>
  </r>
  <r>
    <x v="36"/>
    <x v="0"/>
    <x v="2"/>
    <x v="36"/>
    <x v="0"/>
    <x v="0"/>
    <x v="36"/>
    <x v="36"/>
    <x v="0"/>
    <x v="35"/>
    <x v="33"/>
    <x v="36"/>
    <x v="0"/>
    <x v="0"/>
    <x v="0"/>
    <x v="0"/>
  </r>
  <r>
    <x v="37"/>
    <x v="0"/>
    <x v="4"/>
    <x v="37"/>
    <x v="0"/>
    <x v="0"/>
    <x v="37"/>
    <x v="37"/>
    <x v="11"/>
    <x v="36"/>
    <x v="7"/>
    <x v="37"/>
    <x v="0"/>
    <x v="0"/>
    <x v="0"/>
    <x v="0"/>
  </r>
  <r>
    <x v="38"/>
    <x v="0"/>
    <x v="2"/>
    <x v="38"/>
    <x v="0"/>
    <x v="0"/>
    <x v="38"/>
    <x v="38"/>
    <x v="11"/>
    <x v="37"/>
    <x v="34"/>
    <x v="38"/>
    <x v="1"/>
    <x v="1"/>
    <x v="0"/>
    <x v="0"/>
  </r>
  <r>
    <x v="39"/>
    <x v="0"/>
    <x v="2"/>
    <x v="39"/>
    <x v="0"/>
    <x v="0"/>
    <x v="39"/>
    <x v="39"/>
    <x v="3"/>
    <x v="38"/>
    <x v="35"/>
    <x v="39"/>
    <x v="0"/>
    <x v="0"/>
    <x v="0"/>
    <x v="0"/>
  </r>
  <r>
    <x v="40"/>
    <x v="0"/>
    <x v="4"/>
    <x v="40"/>
    <x v="0"/>
    <x v="0"/>
    <x v="40"/>
    <x v="40"/>
    <x v="7"/>
    <x v="39"/>
    <x v="36"/>
    <x v="40"/>
    <x v="0"/>
    <x v="0"/>
    <x v="0"/>
    <x v="0"/>
  </r>
  <r>
    <x v="41"/>
    <x v="0"/>
    <x v="0"/>
    <x v="41"/>
    <x v="0"/>
    <x v="0"/>
    <x v="41"/>
    <x v="41"/>
    <x v="3"/>
    <x v="40"/>
    <x v="7"/>
    <x v="41"/>
    <x v="0"/>
    <x v="0"/>
    <x v="0"/>
    <x v="0"/>
  </r>
  <r>
    <x v="42"/>
    <x v="0"/>
    <x v="1"/>
    <x v="42"/>
    <x v="0"/>
    <x v="0"/>
    <x v="42"/>
    <x v="42"/>
    <x v="4"/>
    <x v="15"/>
    <x v="37"/>
    <x v="42"/>
    <x v="0"/>
    <x v="0"/>
    <x v="0"/>
    <x v="0"/>
  </r>
  <r>
    <x v="43"/>
    <x v="0"/>
    <x v="4"/>
    <x v="43"/>
    <x v="1"/>
    <x v="0"/>
    <x v="43"/>
    <x v="43"/>
    <x v="6"/>
    <x v="41"/>
    <x v="36"/>
    <x v="43"/>
    <x v="0"/>
    <x v="0"/>
    <x v="0"/>
    <x v="0"/>
  </r>
  <r>
    <x v="44"/>
    <x v="0"/>
    <x v="5"/>
    <x v="44"/>
    <x v="0"/>
    <x v="0"/>
    <x v="44"/>
    <x v="44"/>
    <x v="12"/>
    <x v="42"/>
    <x v="7"/>
    <x v="44"/>
    <x v="0"/>
    <x v="0"/>
    <x v="0"/>
    <x v="0"/>
  </r>
  <r>
    <x v="45"/>
    <x v="0"/>
    <x v="3"/>
    <x v="45"/>
    <x v="0"/>
    <x v="0"/>
    <x v="45"/>
    <x v="45"/>
    <x v="7"/>
    <x v="43"/>
    <x v="38"/>
    <x v="45"/>
    <x v="0"/>
    <x v="0"/>
    <x v="0"/>
    <x v="0"/>
  </r>
  <r>
    <x v="46"/>
    <x v="0"/>
    <x v="3"/>
    <x v="46"/>
    <x v="0"/>
    <x v="0"/>
    <x v="46"/>
    <x v="46"/>
    <x v="11"/>
    <x v="44"/>
    <x v="39"/>
    <x v="46"/>
    <x v="0"/>
    <x v="0"/>
    <x v="0"/>
    <x v="0"/>
  </r>
  <r>
    <x v="47"/>
    <x v="0"/>
    <x v="0"/>
    <x v="47"/>
    <x v="1"/>
    <x v="0"/>
    <x v="47"/>
    <x v="46"/>
    <x v="6"/>
    <x v="45"/>
    <x v="7"/>
    <x v="47"/>
    <x v="1"/>
    <x v="0"/>
    <x v="0"/>
    <x v="0"/>
  </r>
  <r>
    <x v="48"/>
    <x v="0"/>
    <x v="2"/>
    <x v="48"/>
    <x v="1"/>
    <x v="0"/>
    <x v="48"/>
    <x v="47"/>
    <x v="6"/>
    <x v="46"/>
    <x v="40"/>
    <x v="48"/>
    <x v="0"/>
    <x v="0"/>
    <x v="0"/>
    <x v="0"/>
  </r>
  <r>
    <x v="49"/>
    <x v="0"/>
    <x v="5"/>
    <x v="49"/>
    <x v="0"/>
    <x v="0"/>
    <x v="49"/>
    <x v="48"/>
    <x v="13"/>
    <x v="47"/>
    <x v="41"/>
    <x v="49"/>
    <x v="0"/>
    <x v="0"/>
    <x v="0"/>
    <x v="0"/>
  </r>
  <r>
    <x v="50"/>
    <x v="0"/>
    <x v="0"/>
    <x v="50"/>
    <x v="0"/>
    <x v="0"/>
    <x v="50"/>
    <x v="49"/>
    <x v="4"/>
    <x v="5"/>
    <x v="42"/>
    <x v="50"/>
    <x v="0"/>
    <x v="0"/>
    <x v="0"/>
    <x v="0"/>
  </r>
  <r>
    <x v="51"/>
    <x v="0"/>
    <x v="3"/>
    <x v="51"/>
    <x v="1"/>
    <x v="0"/>
    <x v="51"/>
    <x v="50"/>
    <x v="1"/>
    <x v="48"/>
    <x v="43"/>
    <x v="51"/>
    <x v="1"/>
    <x v="2"/>
    <x v="0"/>
    <x v="0"/>
  </r>
  <r>
    <x v="52"/>
    <x v="0"/>
    <x v="5"/>
    <x v="52"/>
    <x v="2"/>
    <x v="0"/>
    <x v="52"/>
    <x v="51"/>
    <x v="14"/>
    <x v="49"/>
    <x v="37"/>
    <x v="52"/>
    <x v="0"/>
    <x v="0"/>
    <x v="0"/>
    <x v="0"/>
  </r>
</pivotCacheRecords>
</file>

<file path=xl/pivotCache/pivotCacheRecords2.xml><?xml version="1.0" encoding="utf-8"?>
<pivotCacheRecords xmlns:r="http://schemas.openxmlformats.org/officeDocument/2006/relationships" xmlns="http://schemas.openxmlformats.org/spreadsheetml/2006/main" count="214">
  <r>
    <x v="0"/>
    <x v="0"/>
    <x v="0"/>
    <x v="0"/>
    <x v="0"/>
    <x v="0"/>
    <x v="0"/>
    <x v="0"/>
    <x v="0"/>
    <x v="0"/>
  </r>
  <r>
    <x v="1"/>
    <x v="1"/>
    <x v="1"/>
    <x v="1"/>
    <x v="1"/>
    <x v="1"/>
    <x v="1"/>
    <x v="1"/>
    <x v="1"/>
    <x v="0"/>
  </r>
  <r>
    <x v="2"/>
    <x v="2"/>
    <x v="2"/>
    <x v="2"/>
    <x v="2"/>
    <x v="2"/>
    <x v="2"/>
    <x v="2"/>
    <x v="2"/>
    <x v="0"/>
  </r>
  <r>
    <x v="3"/>
    <x v="3"/>
    <x v="3"/>
    <x v="1"/>
    <x v="3"/>
    <x v="3"/>
    <x v="3"/>
    <x v="3"/>
    <x v="3"/>
    <x v="0"/>
  </r>
  <r>
    <x v="4"/>
    <x v="4"/>
    <x v="4"/>
    <x v="3"/>
    <x v="4"/>
    <x v="4"/>
    <x v="4"/>
    <x v="4"/>
    <x v="1"/>
    <x v="0"/>
  </r>
  <r>
    <x v="5"/>
    <x v="4"/>
    <x v="5"/>
    <x v="0"/>
    <x v="5"/>
    <x v="4"/>
    <x v="5"/>
    <x v="5"/>
    <x v="1"/>
    <x v="0"/>
  </r>
  <r>
    <x v="6"/>
    <x v="4"/>
    <x v="6"/>
    <x v="1"/>
    <x v="6"/>
    <x v="3"/>
    <x v="6"/>
    <x v="6"/>
    <x v="1"/>
    <x v="0"/>
  </r>
  <r>
    <x v="7"/>
    <x v="4"/>
    <x v="7"/>
    <x v="2"/>
    <x v="7"/>
    <x v="2"/>
    <x v="7"/>
    <x v="7"/>
    <x v="4"/>
    <x v="0"/>
  </r>
  <r>
    <x v="8"/>
    <x v="4"/>
    <x v="7"/>
    <x v="2"/>
    <x v="8"/>
    <x v="2"/>
    <x v="8"/>
    <x v="8"/>
    <x v="5"/>
    <x v="0"/>
  </r>
  <r>
    <x v="9"/>
    <x v="4"/>
    <x v="7"/>
    <x v="2"/>
    <x v="9"/>
    <x v="5"/>
    <x v="9"/>
    <x v="9"/>
    <x v="6"/>
    <x v="0"/>
  </r>
  <r>
    <x v="10"/>
    <x v="5"/>
    <x v="8"/>
    <x v="2"/>
    <x v="10"/>
    <x v="2"/>
    <x v="10"/>
    <x v="10"/>
    <x v="1"/>
    <x v="0"/>
  </r>
  <r>
    <x v="11"/>
    <x v="5"/>
    <x v="9"/>
    <x v="2"/>
    <x v="11"/>
    <x v="6"/>
    <x v="11"/>
    <x v="11"/>
    <x v="1"/>
    <x v="0"/>
  </r>
  <r>
    <x v="12"/>
    <x v="5"/>
    <x v="10"/>
    <x v="2"/>
    <x v="12"/>
    <x v="7"/>
    <x v="12"/>
    <x v="12"/>
    <x v="1"/>
    <x v="0"/>
  </r>
  <r>
    <x v="13"/>
    <x v="5"/>
    <x v="11"/>
    <x v="3"/>
    <x v="13"/>
    <x v="1"/>
    <x v="13"/>
    <x v="13"/>
    <x v="1"/>
    <x v="0"/>
  </r>
  <r>
    <x v="14"/>
    <x v="5"/>
    <x v="12"/>
    <x v="2"/>
    <x v="14"/>
    <x v="2"/>
    <x v="14"/>
    <x v="14"/>
    <x v="1"/>
    <x v="0"/>
  </r>
  <r>
    <x v="15"/>
    <x v="5"/>
    <x v="13"/>
    <x v="2"/>
    <x v="15"/>
    <x v="2"/>
    <x v="15"/>
    <x v="15"/>
    <x v="1"/>
    <x v="0"/>
  </r>
  <r>
    <x v="16"/>
    <x v="5"/>
    <x v="14"/>
    <x v="1"/>
    <x v="16"/>
    <x v="3"/>
    <x v="16"/>
    <x v="16"/>
    <x v="1"/>
    <x v="0"/>
  </r>
  <r>
    <x v="17"/>
    <x v="5"/>
    <x v="15"/>
    <x v="1"/>
    <x v="17"/>
    <x v="3"/>
    <x v="17"/>
    <x v="17"/>
    <x v="1"/>
    <x v="0"/>
  </r>
  <r>
    <x v="18"/>
    <x v="5"/>
    <x v="16"/>
    <x v="1"/>
    <x v="18"/>
    <x v="3"/>
    <x v="18"/>
    <x v="18"/>
    <x v="1"/>
    <x v="0"/>
  </r>
  <r>
    <x v="19"/>
    <x v="5"/>
    <x v="10"/>
    <x v="2"/>
    <x v="19"/>
    <x v="7"/>
    <x v="12"/>
    <x v="12"/>
    <x v="1"/>
    <x v="0"/>
  </r>
  <r>
    <x v="20"/>
    <x v="5"/>
    <x v="17"/>
    <x v="2"/>
    <x v="20"/>
    <x v="6"/>
    <x v="19"/>
    <x v="19"/>
    <x v="1"/>
    <x v="0"/>
  </r>
  <r>
    <x v="21"/>
    <x v="5"/>
    <x v="18"/>
    <x v="2"/>
    <x v="21"/>
    <x v="2"/>
    <x v="20"/>
    <x v="20"/>
    <x v="7"/>
    <x v="0"/>
  </r>
  <r>
    <x v="22"/>
    <x v="5"/>
    <x v="19"/>
    <x v="2"/>
    <x v="22"/>
    <x v="7"/>
    <x v="21"/>
    <x v="21"/>
    <x v="1"/>
    <x v="0"/>
  </r>
  <r>
    <x v="23"/>
    <x v="5"/>
    <x v="19"/>
    <x v="2"/>
    <x v="23"/>
    <x v="7"/>
    <x v="22"/>
    <x v="22"/>
    <x v="1"/>
    <x v="0"/>
  </r>
  <r>
    <x v="24"/>
    <x v="5"/>
    <x v="20"/>
    <x v="2"/>
    <x v="24"/>
    <x v="6"/>
    <x v="23"/>
    <x v="23"/>
    <x v="1"/>
    <x v="0"/>
  </r>
  <r>
    <x v="25"/>
    <x v="5"/>
    <x v="21"/>
    <x v="3"/>
    <x v="25"/>
    <x v="4"/>
    <x v="24"/>
    <x v="24"/>
    <x v="8"/>
    <x v="0"/>
  </r>
  <r>
    <x v="26"/>
    <x v="5"/>
    <x v="22"/>
    <x v="3"/>
    <x v="26"/>
    <x v="4"/>
    <x v="25"/>
    <x v="25"/>
    <x v="1"/>
    <x v="0"/>
  </r>
  <r>
    <x v="27"/>
    <x v="5"/>
    <x v="23"/>
    <x v="2"/>
    <x v="27"/>
    <x v="6"/>
    <x v="26"/>
    <x v="26"/>
    <x v="1"/>
    <x v="0"/>
  </r>
  <r>
    <x v="28"/>
    <x v="5"/>
    <x v="24"/>
    <x v="2"/>
    <x v="28"/>
    <x v="6"/>
    <x v="27"/>
    <x v="27"/>
    <x v="9"/>
    <x v="0"/>
  </r>
  <r>
    <x v="29"/>
    <x v="6"/>
    <x v="25"/>
    <x v="2"/>
    <x v="29"/>
    <x v="7"/>
    <x v="28"/>
    <x v="28"/>
    <x v="1"/>
    <x v="0"/>
  </r>
  <r>
    <x v="30"/>
    <x v="6"/>
    <x v="26"/>
    <x v="0"/>
    <x v="30"/>
    <x v="1"/>
    <x v="29"/>
    <x v="29"/>
    <x v="1"/>
    <x v="0"/>
  </r>
  <r>
    <x v="31"/>
    <x v="7"/>
    <x v="27"/>
    <x v="2"/>
    <x v="31"/>
    <x v="7"/>
    <x v="30"/>
    <x v="30"/>
    <x v="1"/>
    <x v="0"/>
  </r>
  <r>
    <x v="32"/>
    <x v="7"/>
    <x v="28"/>
    <x v="3"/>
    <x v="32"/>
    <x v="1"/>
    <x v="31"/>
    <x v="31"/>
    <x v="1"/>
    <x v="0"/>
  </r>
  <r>
    <x v="33"/>
    <x v="7"/>
    <x v="29"/>
    <x v="1"/>
    <x v="33"/>
    <x v="3"/>
    <x v="32"/>
    <x v="32"/>
    <x v="1"/>
    <x v="0"/>
  </r>
  <r>
    <x v="34"/>
    <x v="7"/>
    <x v="30"/>
    <x v="1"/>
    <x v="34"/>
    <x v="8"/>
    <x v="33"/>
    <x v="33"/>
    <x v="1"/>
    <x v="0"/>
  </r>
  <r>
    <x v="35"/>
    <x v="7"/>
    <x v="31"/>
    <x v="1"/>
    <x v="35"/>
    <x v="3"/>
    <x v="34"/>
    <x v="34"/>
    <x v="1"/>
    <x v="0"/>
  </r>
  <r>
    <x v="36"/>
    <x v="7"/>
    <x v="32"/>
    <x v="1"/>
    <x v="36"/>
    <x v="1"/>
    <x v="35"/>
    <x v="35"/>
    <x v="1"/>
    <x v="0"/>
  </r>
  <r>
    <x v="37"/>
    <x v="7"/>
    <x v="33"/>
    <x v="2"/>
    <x v="37"/>
    <x v="2"/>
    <x v="36"/>
    <x v="36"/>
    <x v="1"/>
    <x v="0"/>
  </r>
  <r>
    <x v="38"/>
    <x v="7"/>
    <x v="34"/>
    <x v="3"/>
    <x v="38"/>
    <x v="1"/>
    <x v="37"/>
    <x v="37"/>
    <x v="1"/>
    <x v="0"/>
  </r>
  <r>
    <x v="39"/>
    <x v="7"/>
    <x v="35"/>
    <x v="2"/>
    <x v="39"/>
    <x v="9"/>
    <x v="38"/>
    <x v="38"/>
    <x v="10"/>
    <x v="0"/>
  </r>
  <r>
    <x v="40"/>
    <x v="7"/>
    <x v="36"/>
    <x v="2"/>
    <x v="40"/>
    <x v="2"/>
    <x v="39"/>
    <x v="39"/>
    <x v="1"/>
    <x v="0"/>
  </r>
  <r>
    <x v="41"/>
    <x v="7"/>
    <x v="37"/>
    <x v="2"/>
    <x v="41"/>
    <x v="7"/>
    <x v="40"/>
    <x v="40"/>
    <x v="11"/>
    <x v="0"/>
  </r>
  <r>
    <x v="42"/>
    <x v="7"/>
    <x v="38"/>
    <x v="2"/>
    <x v="42"/>
    <x v="2"/>
    <x v="41"/>
    <x v="41"/>
    <x v="12"/>
    <x v="0"/>
  </r>
  <r>
    <x v="43"/>
    <x v="7"/>
    <x v="39"/>
    <x v="2"/>
    <x v="43"/>
    <x v="9"/>
    <x v="42"/>
    <x v="42"/>
    <x v="1"/>
    <x v="0"/>
  </r>
  <r>
    <x v="44"/>
    <x v="7"/>
    <x v="40"/>
    <x v="2"/>
    <x v="44"/>
    <x v="2"/>
    <x v="39"/>
    <x v="39"/>
    <x v="1"/>
    <x v="0"/>
  </r>
  <r>
    <x v="45"/>
    <x v="7"/>
    <x v="41"/>
    <x v="0"/>
    <x v="45"/>
    <x v="4"/>
    <x v="43"/>
    <x v="43"/>
    <x v="13"/>
    <x v="0"/>
  </r>
  <r>
    <x v="46"/>
    <x v="7"/>
    <x v="42"/>
    <x v="2"/>
    <x v="46"/>
    <x v="2"/>
    <x v="44"/>
    <x v="44"/>
    <x v="1"/>
    <x v="0"/>
  </r>
  <r>
    <x v="47"/>
    <x v="7"/>
    <x v="43"/>
    <x v="2"/>
    <x v="47"/>
    <x v="2"/>
    <x v="44"/>
    <x v="44"/>
    <x v="1"/>
    <x v="0"/>
  </r>
  <r>
    <x v="48"/>
    <x v="7"/>
    <x v="44"/>
    <x v="0"/>
    <x v="48"/>
    <x v="10"/>
    <x v="45"/>
    <x v="45"/>
    <x v="14"/>
    <x v="1"/>
  </r>
  <r>
    <x v="49"/>
    <x v="7"/>
    <x v="45"/>
    <x v="0"/>
    <x v="49"/>
    <x v="10"/>
    <x v="46"/>
    <x v="46"/>
    <x v="1"/>
    <x v="0"/>
  </r>
  <r>
    <x v="50"/>
    <x v="8"/>
    <x v="46"/>
    <x v="2"/>
    <x v="50"/>
    <x v="7"/>
    <x v="47"/>
    <x v="47"/>
    <x v="1"/>
    <x v="0"/>
  </r>
  <r>
    <x v="51"/>
    <x v="8"/>
    <x v="47"/>
    <x v="2"/>
    <x v="51"/>
    <x v="11"/>
    <x v="48"/>
    <x v="48"/>
    <x v="1"/>
    <x v="0"/>
  </r>
  <r>
    <x v="52"/>
    <x v="8"/>
    <x v="48"/>
    <x v="2"/>
    <x v="52"/>
    <x v="2"/>
    <x v="49"/>
    <x v="49"/>
    <x v="1"/>
    <x v="0"/>
  </r>
  <r>
    <x v="53"/>
    <x v="8"/>
    <x v="49"/>
    <x v="2"/>
    <x v="53"/>
    <x v="11"/>
    <x v="50"/>
    <x v="50"/>
    <x v="1"/>
    <x v="0"/>
  </r>
  <r>
    <x v="54"/>
    <x v="8"/>
    <x v="50"/>
    <x v="2"/>
    <x v="54"/>
    <x v="9"/>
    <x v="51"/>
    <x v="51"/>
    <x v="1"/>
    <x v="0"/>
  </r>
  <r>
    <x v="55"/>
    <x v="8"/>
    <x v="51"/>
    <x v="2"/>
    <x v="55"/>
    <x v="7"/>
    <x v="52"/>
    <x v="52"/>
    <x v="1"/>
    <x v="0"/>
  </r>
  <r>
    <x v="56"/>
    <x v="8"/>
    <x v="52"/>
    <x v="3"/>
    <x v="56"/>
    <x v="1"/>
    <x v="53"/>
    <x v="53"/>
    <x v="1"/>
    <x v="0"/>
  </r>
  <r>
    <x v="57"/>
    <x v="8"/>
    <x v="53"/>
    <x v="2"/>
    <x v="57"/>
    <x v="7"/>
    <x v="52"/>
    <x v="52"/>
    <x v="1"/>
    <x v="0"/>
  </r>
  <r>
    <x v="58"/>
    <x v="8"/>
    <x v="54"/>
    <x v="2"/>
    <x v="58"/>
    <x v="2"/>
    <x v="54"/>
    <x v="54"/>
    <x v="1"/>
    <x v="0"/>
  </r>
  <r>
    <x v="59"/>
    <x v="8"/>
    <x v="55"/>
    <x v="1"/>
    <x v="59"/>
    <x v="3"/>
    <x v="55"/>
    <x v="55"/>
    <x v="1"/>
    <x v="0"/>
  </r>
  <r>
    <x v="60"/>
    <x v="8"/>
    <x v="56"/>
    <x v="2"/>
    <x v="60"/>
    <x v="7"/>
    <x v="56"/>
    <x v="56"/>
    <x v="1"/>
    <x v="2"/>
  </r>
  <r>
    <x v="61"/>
    <x v="8"/>
    <x v="57"/>
    <x v="2"/>
    <x v="61"/>
    <x v="7"/>
    <x v="57"/>
    <x v="57"/>
    <x v="1"/>
    <x v="0"/>
  </r>
  <r>
    <x v="62"/>
    <x v="8"/>
    <x v="58"/>
    <x v="2"/>
    <x v="62"/>
    <x v="7"/>
    <x v="58"/>
    <x v="58"/>
    <x v="1"/>
    <x v="0"/>
  </r>
  <r>
    <x v="63"/>
    <x v="8"/>
    <x v="59"/>
    <x v="2"/>
    <x v="63"/>
    <x v="7"/>
    <x v="59"/>
    <x v="59"/>
    <x v="1"/>
    <x v="0"/>
  </r>
  <r>
    <x v="64"/>
    <x v="8"/>
    <x v="60"/>
    <x v="3"/>
    <x v="64"/>
    <x v="1"/>
    <x v="60"/>
    <x v="60"/>
    <x v="1"/>
    <x v="0"/>
  </r>
  <r>
    <x v="65"/>
    <x v="8"/>
    <x v="61"/>
    <x v="3"/>
    <x v="65"/>
    <x v="4"/>
    <x v="61"/>
    <x v="61"/>
    <x v="1"/>
    <x v="0"/>
  </r>
  <r>
    <x v="66"/>
    <x v="8"/>
    <x v="58"/>
    <x v="2"/>
    <x v="66"/>
    <x v="7"/>
    <x v="59"/>
    <x v="59"/>
    <x v="1"/>
    <x v="0"/>
  </r>
  <r>
    <x v="67"/>
    <x v="8"/>
    <x v="62"/>
    <x v="2"/>
    <x v="67"/>
    <x v="2"/>
    <x v="62"/>
    <x v="62"/>
    <x v="15"/>
    <x v="0"/>
  </r>
  <r>
    <x v="68"/>
    <x v="8"/>
    <x v="63"/>
    <x v="2"/>
    <x v="68"/>
    <x v="7"/>
    <x v="63"/>
    <x v="63"/>
    <x v="16"/>
    <x v="0"/>
  </r>
  <r>
    <x v="69"/>
    <x v="8"/>
    <x v="64"/>
    <x v="2"/>
    <x v="69"/>
    <x v="12"/>
    <x v="64"/>
    <x v="64"/>
    <x v="17"/>
    <x v="0"/>
  </r>
  <r>
    <x v="70"/>
    <x v="8"/>
    <x v="65"/>
    <x v="4"/>
    <x v="70"/>
    <x v="1"/>
    <x v="65"/>
    <x v="65"/>
    <x v="1"/>
    <x v="0"/>
  </r>
  <r>
    <x v="71"/>
    <x v="8"/>
    <x v="66"/>
    <x v="2"/>
    <x v="71"/>
    <x v="7"/>
    <x v="57"/>
    <x v="66"/>
    <x v="18"/>
    <x v="0"/>
  </r>
  <r>
    <x v="72"/>
    <x v="8"/>
    <x v="64"/>
    <x v="2"/>
    <x v="72"/>
    <x v="12"/>
    <x v="64"/>
    <x v="67"/>
    <x v="1"/>
    <x v="0"/>
  </r>
  <r>
    <x v="73"/>
    <x v="8"/>
    <x v="67"/>
    <x v="2"/>
    <x v="73"/>
    <x v="7"/>
    <x v="66"/>
    <x v="68"/>
    <x v="19"/>
    <x v="0"/>
  </r>
  <r>
    <x v="74"/>
    <x v="8"/>
    <x v="52"/>
    <x v="3"/>
    <x v="74"/>
    <x v="1"/>
    <x v="53"/>
    <x v="53"/>
    <x v="1"/>
    <x v="0"/>
  </r>
  <r>
    <x v="75"/>
    <x v="8"/>
    <x v="68"/>
    <x v="0"/>
    <x v="75"/>
    <x v="4"/>
    <x v="67"/>
    <x v="69"/>
    <x v="1"/>
    <x v="0"/>
  </r>
  <r>
    <x v="76"/>
    <x v="8"/>
    <x v="69"/>
    <x v="1"/>
    <x v="76"/>
    <x v="1"/>
    <x v="68"/>
    <x v="70"/>
    <x v="1"/>
    <x v="0"/>
  </r>
  <r>
    <x v="77"/>
    <x v="8"/>
    <x v="70"/>
    <x v="1"/>
    <x v="77"/>
    <x v="1"/>
    <x v="69"/>
    <x v="71"/>
    <x v="1"/>
    <x v="2"/>
  </r>
  <r>
    <x v="78"/>
    <x v="8"/>
    <x v="17"/>
    <x v="3"/>
    <x v="78"/>
    <x v="1"/>
    <x v="70"/>
    <x v="72"/>
    <x v="1"/>
    <x v="0"/>
  </r>
  <r>
    <x v="79"/>
    <x v="8"/>
    <x v="71"/>
    <x v="3"/>
    <x v="79"/>
    <x v="4"/>
    <x v="71"/>
    <x v="73"/>
    <x v="1"/>
    <x v="0"/>
  </r>
  <r>
    <x v="80"/>
    <x v="8"/>
    <x v="72"/>
    <x v="2"/>
    <x v="80"/>
    <x v="7"/>
    <x v="72"/>
    <x v="74"/>
    <x v="1"/>
    <x v="0"/>
  </r>
  <r>
    <x v="81"/>
    <x v="8"/>
    <x v="73"/>
    <x v="3"/>
    <x v="81"/>
    <x v="4"/>
    <x v="73"/>
    <x v="75"/>
    <x v="1"/>
    <x v="0"/>
  </r>
  <r>
    <x v="82"/>
    <x v="8"/>
    <x v="74"/>
    <x v="3"/>
    <x v="82"/>
    <x v="4"/>
    <x v="73"/>
    <x v="75"/>
    <x v="1"/>
    <x v="3"/>
  </r>
  <r>
    <x v="83"/>
    <x v="8"/>
    <x v="75"/>
    <x v="3"/>
    <x v="83"/>
    <x v="4"/>
    <x v="73"/>
    <x v="75"/>
    <x v="1"/>
    <x v="3"/>
  </r>
  <r>
    <x v="84"/>
    <x v="8"/>
    <x v="76"/>
    <x v="2"/>
    <x v="84"/>
    <x v="2"/>
    <x v="74"/>
    <x v="76"/>
    <x v="20"/>
    <x v="0"/>
  </r>
  <r>
    <x v="85"/>
    <x v="8"/>
    <x v="77"/>
    <x v="2"/>
    <x v="85"/>
    <x v="13"/>
    <x v="75"/>
    <x v="77"/>
    <x v="21"/>
    <x v="0"/>
  </r>
  <r>
    <x v="86"/>
    <x v="8"/>
    <x v="78"/>
    <x v="2"/>
    <x v="86"/>
    <x v="14"/>
    <x v="76"/>
    <x v="78"/>
    <x v="22"/>
    <x v="0"/>
  </r>
  <r>
    <x v="87"/>
    <x v="8"/>
    <x v="79"/>
    <x v="2"/>
    <x v="87"/>
    <x v="7"/>
    <x v="77"/>
    <x v="79"/>
    <x v="1"/>
    <x v="0"/>
  </r>
  <r>
    <x v="88"/>
    <x v="8"/>
    <x v="80"/>
    <x v="2"/>
    <x v="88"/>
    <x v="7"/>
    <x v="78"/>
    <x v="80"/>
    <x v="1"/>
    <x v="0"/>
  </r>
  <r>
    <x v="89"/>
    <x v="8"/>
    <x v="80"/>
    <x v="2"/>
    <x v="89"/>
    <x v="5"/>
    <x v="79"/>
    <x v="81"/>
    <x v="1"/>
    <x v="0"/>
  </r>
  <r>
    <x v="90"/>
    <x v="8"/>
    <x v="81"/>
    <x v="2"/>
    <x v="90"/>
    <x v="2"/>
    <x v="80"/>
    <x v="82"/>
    <x v="23"/>
    <x v="0"/>
  </r>
  <r>
    <x v="91"/>
    <x v="8"/>
    <x v="82"/>
    <x v="2"/>
    <x v="91"/>
    <x v="13"/>
    <x v="81"/>
    <x v="83"/>
    <x v="1"/>
    <x v="0"/>
  </r>
  <r>
    <x v="92"/>
    <x v="8"/>
    <x v="83"/>
    <x v="2"/>
    <x v="92"/>
    <x v="15"/>
    <x v="82"/>
    <x v="84"/>
    <x v="1"/>
    <x v="0"/>
  </r>
  <r>
    <x v="93"/>
    <x v="8"/>
    <x v="84"/>
    <x v="2"/>
    <x v="93"/>
    <x v="7"/>
    <x v="83"/>
    <x v="85"/>
    <x v="24"/>
    <x v="0"/>
  </r>
  <r>
    <x v="94"/>
    <x v="8"/>
    <x v="85"/>
    <x v="3"/>
    <x v="94"/>
    <x v="1"/>
    <x v="84"/>
    <x v="86"/>
    <x v="1"/>
    <x v="0"/>
  </r>
  <r>
    <x v="95"/>
    <x v="8"/>
    <x v="86"/>
    <x v="2"/>
    <x v="95"/>
    <x v="7"/>
    <x v="85"/>
    <x v="87"/>
    <x v="1"/>
    <x v="0"/>
  </r>
  <r>
    <x v="96"/>
    <x v="8"/>
    <x v="87"/>
    <x v="2"/>
    <x v="96"/>
    <x v="7"/>
    <x v="86"/>
    <x v="88"/>
    <x v="25"/>
    <x v="0"/>
  </r>
  <r>
    <x v="97"/>
    <x v="8"/>
    <x v="88"/>
    <x v="2"/>
    <x v="97"/>
    <x v="2"/>
    <x v="62"/>
    <x v="89"/>
    <x v="26"/>
    <x v="1"/>
  </r>
  <r>
    <x v="98"/>
    <x v="8"/>
    <x v="89"/>
    <x v="0"/>
    <x v="98"/>
    <x v="4"/>
    <x v="87"/>
    <x v="90"/>
    <x v="1"/>
    <x v="0"/>
  </r>
  <r>
    <x v="99"/>
    <x v="8"/>
    <x v="90"/>
    <x v="0"/>
    <x v="99"/>
    <x v="16"/>
    <x v="88"/>
    <x v="91"/>
    <x v="1"/>
    <x v="0"/>
  </r>
  <r>
    <x v="100"/>
    <x v="8"/>
    <x v="91"/>
    <x v="2"/>
    <x v="100"/>
    <x v="7"/>
    <x v="72"/>
    <x v="74"/>
    <x v="1"/>
    <x v="1"/>
  </r>
  <r>
    <x v="101"/>
    <x v="8"/>
    <x v="28"/>
    <x v="3"/>
    <x v="101"/>
    <x v="1"/>
    <x v="70"/>
    <x v="72"/>
    <x v="1"/>
    <x v="0"/>
  </r>
  <r>
    <x v="102"/>
    <x v="8"/>
    <x v="92"/>
    <x v="1"/>
    <x v="102"/>
    <x v="1"/>
    <x v="89"/>
    <x v="92"/>
    <x v="27"/>
    <x v="0"/>
  </r>
  <r>
    <x v="103"/>
    <x v="8"/>
    <x v="93"/>
    <x v="2"/>
    <x v="103"/>
    <x v="2"/>
    <x v="36"/>
    <x v="36"/>
    <x v="1"/>
    <x v="0"/>
  </r>
  <r>
    <x v="104"/>
    <x v="8"/>
    <x v="94"/>
    <x v="2"/>
    <x v="104"/>
    <x v="2"/>
    <x v="90"/>
    <x v="93"/>
    <x v="28"/>
    <x v="0"/>
  </r>
  <r>
    <x v="105"/>
    <x v="8"/>
    <x v="95"/>
    <x v="2"/>
    <x v="105"/>
    <x v="2"/>
    <x v="36"/>
    <x v="36"/>
    <x v="1"/>
    <x v="0"/>
  </r>
  <r>
    <x v="106"/>
    <x v="8"/>
    <x v="96"/>
    <x v="1"/>
    <x v="106"/>
    <x v="1"/>
    <x v="91"/>
    <x v="94"/>
    <x v="29"/>
    <x v="0"/>
  </r>
  <r>
    <x v="107"/>
    <x v="8"/>
    <x v="97"/>
    <x v="2"/>
    <x v="107"/>
    <x v="2"/>
    <x v="92"/>
    <x v="95"/>
    <x v="30"/>
    <x v="0"/>
  </r>
  <r>
    <x v="108"/>
    <x v="8"/>
    <x v="98"/>
    <x v="2"/>
    <x v="108"/>
    <x v="2"/>
    <x v="92"/>
    <x v="96"/>
    <x v="31"/>
    <x v="0"/>
  </r>
  <r>
    <x v="109"/>
    <x v="8"/>
    <x v="99"/>
    <x v="2"/>
    <x v="109"/>
    <x v="2"/>
    <x v="36"/>
    <x v="36"/>
    <x v="1"/>
    <x v="0"/>
  </r>
  <r>
    <x v="110"/>
    <x v="8"/>
    <x v="100"/>
    <x v="2"/>
    <x v="110"/>
    <x v="2"/>
    <x v="93"/>
    <x v="97"/>
    <x v="1"/>
    <x v="0"/>
  </r>
  <r>
    <x v="111"/>
    <x v="8"/>
    <x v="101"/>
    <x v="2"/>
    <x v="111"/>
    <x v="2"/>
    <x v="94"/>
    <x v="98"/>
    <x v="1"/>
    <x v="0"/>
  </r>
  <r>
    <x v="112"/>
    <x v="8"/>
    <x v="102"/>
    <x v="2"/>
    <x v="112"/>
    <x v="12"/>
    <x v="95"/>
    <x v="99"/>
    <x v="32"/>
    <x v="0"/>
  </r>
  <r>
    <x v="113"/>
    <x v="8"/>
    <x v="103"/>
    <x v="2"/>
    <x v="113"/>
    <x v="7"/>
    <x v="96"/>
    <x v="100"/>
    <x v="33"/>
    <x v="0"/>
  </r>
  <r>
    <x v="114"/>
    <x v="8"/>
    <x v="104"/>
    <x v="3"/>
    <x v="114"/>
    <x v="1"/>
    <x v="97"/>
    <x v="101"/>
    <x v="1"/>
    <x v="0"/>
  </r>
  <r>
    <x v="115"/>
    <x v="8"/>
    <x v="105"/>
    <x v="3"/>
    <x v="115"/>
    <x v="4"/>
    <x v="98"/>
    <x v="102"/>
    <x v="1"/>
    <x v="0"/>
  </r>
  <r>
    <x v="116"/>
    <x v="8"/>
    <x v="106"/>
    <x v="1"/>
    <x v="116"/>
    <x v="1"/>
    <x v="99"/>
    <x v="103"/>
    <x v="34"/>
    <x v="0"/>
  </r>
  <r>
    <x v="117"/>
    <x v="8"/>
    <x v="107"/>
    <x v="4"/>
    <x v="117"/>
    <x v="3"/>
    <x v="100"/>
    <x v="104"/>
    <x v="1"/>
    <x v="2"/>
  </r>
  <r>
    <x v="118"/>
    <x v="8"/>
    <x v="108"/>
    <x v="0"/>
    <x v="118"/>
    <x v="10"/>
    <x v="101"/>
    <x v="105"/>
    <x v="35"/>
    <x v="0"/>
  </r>
  <r>
    <x v="119"/>
    <x v="8"/>
    <x v="109"/>
    <x v="3"/>
    <x v="119"/>
    <x v="16"/>
    <x v="102"/>
    <x v="106"/>
    <x v="36"/>
    <x v="0"/>
  </r>
  <r>
    <x v="120"/>
    <x v="8"/>
    <x v="109"/>
    <x v="3"/>
    <x v="120"/>
    <x v="1"/>
    <x v="103"/>
    <x v="107"/>
    <x v="37"/>
    <x v="0"/>
  </r>
  <r>
    <x v="121"/>
    <x v="8"/>
    <x v="109"/>
    <x v="3"/>
    <x v="121"/>
    <x v="1"/>
    <x v="104"/>
    <x v="107"/>
    <x v="38"/>
    <x v="0"/>
  </r>
  <r>
    <x v="122"/>
    <x v="8"/>
    <x v="109"/>
    <x v="3"/>
    <x v="122"/>
    <x v="1"/>
    <x v="104"/>
    <x v="107"/>
    <x v="38"/>
    <x v="0"/>
  </r>
  <r>
    <x v="123"/>
    <x v="8"/>
    <x v="109"/>
    <x v="3"/>
    <x v="123"/>
    <x v="4"/>
    <x v="105"/>
    <x v="108"/>
    <x v="39"/>
    <x v="0"/>
  </r>
  <r>
    <x v="124"/>
    <x v="8"/>
    <x v="109"/>
    <x v="3"/>
    <x v="124"/>
    <x v="4"/>
    <x v="106"/>
    <x v="108"/>
    <x v="40"/>
    <x v="0"/>
  </r>
  <r>
    <x v="125"/>
    <x v="8"/>
    <x v="109"/>
    <x v="3"/>
    <x v="125"/>
    <x v="0"/>
    <x v="107"/>
    <x v="109"/>
    <x v="41"/>
    <x v="0"/>
  </r>
  <r>
    <x v="126"/>
    <x v="8"/>
    <x v="109"/>
    <x v="3"/>
    <x v="126"/>
    <x v="4"/>
    <x v="105"/>
    <x v="108"/>
    <x v="39"/>
    <x v="0"/>
  </r>
  <r>
    <x v="127"/>
    <x v="8"/>
    <x v="110"/>
    <x v="2"/>
    <x v="127"/>
    <x v="5"/>
    <x v="108"/>
    <x v="110"/>
    <x v="1"/>
    <x v="0"/>
  </r>
  <r>
    <x v="128"/>
    <x v="8"/>
    <x v="111"/>
    <x v="2"/>
    <x v="128"/>
    <x v="17"/>
    <x v="109"/>
    <x v="111"/>
    <x v="1"/>
    <x v="0"/>
  </r>
  <r>
    <x v="129"/>
    <x v="8"/>
    <x v="112"/>
    <x v="2"/>
    <x v="129"/>
    <x v="2"/>
    <x v="36"/>
    <x v="112"/>
    <x v="12"/>
    <x v="0"/>
  </r>
  <r>
    <x v="130"/>
    <x v="8"/>
    <x v="17"/>
    <x v="3"/>
    <x v="130"/>
    <x v="1"/>
    <x v="110"/>
    <x v="113"/>
    <x v="1"/>
    <x v="3"/>
  </r>
  <r>
    <x v="131"/>
    <x v="8"/>
    <x v="113"/>
    <x v="1"/>
    <x v="131"/>
    <x v="1"/>
    <x v="111"/>
    <x v="114"/>
    <x v="1"/>
    <x v="0"/>
  </r>
  <r>
    <x v="132"/>
    <x v="8"/>
    <x v="114"/>
    <x v="1"/>
    <x v="132"/>
    <x v="1"/>
    <x v="112"/>
    <x v="115"/>
    <x v="1"/>
    <x v="0"/>
  </r>
  <r>
    <x v="133"/>
    <x v="8"/>
    <x v="115"/>
    <x v="1"/>
    <x v="133"/>
    <x v="3"/>
    <x v="113"/>
    <x v="116"/>
    <x v="42"/>
    <x v="0"/>
  </r>
  <r>
    <x v="134"/>
    <x v="8"/>
    <x v="116"/>
    <x v="2"/>
    <x v="134"/>
    <x v="7"/>
    <x v="59"/>
    <x v="59"/>
    <x v="1"/>
    <x v="0"/>
  </r>
  <r>
    <x v="135"/>
    <x v="8"/>
    <x v="117"/>
    <x v="2"/>
    <x v="135"/>
    <x v="7"/>
    <x v="114"/>
    <x v="117"/>
    <x v="1"/>
    <x v="0"/>
  </r>
  <r>
    <x v="136"/>
    <x v="8"/>
    <x v="118"/>
    <x v="2"/>
    <x v="136"/>
    <x v="7"/>
    <x v="59"/>
    <x v="59"/>
    <x v="1"/>
    <x v="0"/>
  </r>
  <r>
    <x v="137"/>
    <x v="8"/>
    <x v="119"/>
    <x v="2"/>
    <x v="137"/>
    <x v="2"/>
    <x v="115"/>
    <x v="118"/>
    <x v="1"/>
    <x v="0"/>
  </r>
  <r>
    <x v="138"/>
    <x v="8"/>
    <x v="120"/>
    <x v="1"/>
    <x v="138"/>
    <x v="1"/>
    <x v="116"/>
    <x v="119"/>
    <x v="1"/>
    <x v="0"/>
  </r>
  <r>
    <x v="139"/>
    <x v="8"/>
    <x v="111"/>
    <x v="2"/>
    <x v="139"/>
    <x v="17"/>
    <x v="117"/>
    <x v="120"/>
    <x v="43"/>
    <x v="0"/>
  </r>
  <r>
    <x v="140"/>
    <x v="8"/>
    <x v="121"/>
    <x v="1"/>
    <x v="140"/>
    <x v="3"/>
    <x v="118"/>
    <x v="121"/>
    <x v="1"/>
    <x v="0"/>
  </r>
  <r>
    <x v="141"/>
    <x v="8"/>
    <x v="122"/>
    <x v="4"/>
    <x v="141"/>
    <x v="1"/>
    <x v="65"/>
    <x v="65"/>
    <x v="1"/>
    <x v="0"/>
  </r>
  <r>
    <x v="142"/>
    <x v="8"/>
    <x v="123"/>
    <x v="2"/>
    <x v="142"/>
    <x v="7"/>
    <x v="119"/>
    <x v="122"/>
    <x v="1"/>
    <x v="0"/>
  </r>
  <r>
    <x v="143"/>
    <x v="8"/>
    <x v="124"/>
    <x v="0"/>
    <x v="143"/>
    <x v="4"/>
    <x v="120"/>
    <x v="123"/>
    <x v="1"/>
    <x v="0"/>
  </r>
  <r>
    <x v="144"/>
    <x v="8"/>
    <x v="125"/>
    <x v="1"/>
    <x v="144"/>
    <x v="3"/>
    <x v="113"/>
    <x v="124"/>
    <x v="1"/>
    <x v="0"/>
  </r>
  <r>
    <x v="145"/>
    <x v="8"/>
    <x v="126"/>
    <x v="1"/>
    <x v="145"/>
    <x v="3"/>
    <x v="121"/>
    <x v="125"/>
    <x v="1"/>
    <x v="0"/>
  </r>
  <r>
    <x v="146"/>
    <x v="8"/>
    <x v="7"/>
    <x v="2"/>
    <x v="146"/>
    <x v="7"/>
    <x v="122"/>
    <x v="126"/>
    <x v="44"/>
    <x v="0"/>
  </r>
  <r>
    <x v="147"/>
    <x v="8"/>
    <x v="37"/>
    <x v="2"/>
    <x v="147"/>
    <x v="7"/>
    <x v="123"/>
    <x v="127"/>
    <x v="45"/>
    <x v="0"/>
  </r>
  <r>
    <x v="148"/>
    <x v="8"/>
    <x v="127"/>
    <x v="1"/>
    <x v="148"/>
    <x v="1"/>
    <x v="124"/>
    <x v="128"/>
    <x v="1"/>
    <x v="0"/>
  </r>
  <r>
    <x v="149"/>
    <x v="8"/>
    <x v="128"/>
    <x v="4"/>
    <x v="149"/>
    <x v="1"/>
    <x v="65"/>
    <x v="129"/>
    <x v="46"/>
    <x v="0"/>
  </r>
  <r>
    <x v="150"/>
    <x v="8"/>
    <x v="129"/>
    <x v="1"/>
    <x v="150"/>
    <x v="1"/>
    <x v="125"/>
    <x v="130"/>
    <x v="1"/>
    <x v="2"/>
  </r>
  <r>
    <x v="151"/>
    <x v="8"/>
    <x v="130"/>
    <x v="2"/>
    <x v="151"/>
    <x v="2"/>
    <x v="126"/>
    <x v="131"/>
    <x v="1"/>
    <x v="0"/>
  </r>
  <r>
    <x v="152"/>
    <x v="8"/>
    <x v="131"/>
    <x v="0"/>
    <x v="152"/>
    <x v="4"/>
    <x v="127"/>
    <x v="132"/>
    <x v="47"/>
    <x v="0"/>
  </r>
  <r>
    <x v="153"/>
    <x v="8"/>
    <x v="132"/>
    <x v="0"/>
    <x v="153"/>
    <x v="4"/>
    <x v="128"/>
    <x v="133"/>
    <x v="1"/>
    <x v="0"/>
  </r>
  <r>
    <x v="154"/>
    <x v="8"/>
    <x v="133"/>
    <x v="3"/>
    <x v="154"/>
    <x v="4"/>
    <x v="73"/>
    <x v="134"/>
    <x v="48"/>
    <x v="1"/>
  </r>
  <r>
    <x v="155"/>
    <x v="8"/>
    <x v="97"/>
    <x v="0"/>
    <x v="155"/>
    <x v="1"/>
    <x v="129"/>
    <x v="135"/>
    <x v="49"/>
    <x v="0"/>
  </r>
  <r>
    <x v="156"/>
    <x v="8"/>
    <x v="134"/>
    <x v="0"/>
    <x v="156"/>
    <x v="10"/>
    <x v="130"/>
    <x v="136"/>
    <x v="1"/>
    <x v="0"/>
  </r>
  <r>
    <x v="157"/>
    <x v="8"/>
    <x v="135"/>
    <x v="0"/>
    <x v="157"/>
    <x v="10"/>
    <x v="131"/>
    <x v="137"/>
    <x v="1"/>
    <x v="0"/>
  </r>
  <r>
    <x v="158"/>
    <x v="8"/>
    <x v="136"/>
    <x v="2"/>
    <x v="158"/>
    <x v="7"/>
    <x v="132"/>
    <x v="138"/>
    <x v="1"/>
    <x v="0"/>
  </r>
  <r>
    <x v="159"/>
    <x v="8"/>
    <x v="137"/>
    <x v="2"/>
    <x v="159"/>
    <x v="7"/>
    <x v="59"/>
    <x v="59"/>
    <x v="1"/>
    <x v="0"/>
  </r>
  <r>
    <x v="160"/>
    <x v="8"/>
    <x v="138"/>
    <x v="3"/>
    <x v="160"/>
    <x v="18"/>
    <x v="133"/>
    <x v="139"/>
    <x v="1"/>
    <x v="3"/>
  </r>
  <r>
    <x v="161"/>
    <x v="8"/>
    <x v="138"/>
    <x v="3"/>
    <x v="161"/>
    <x v="19"/>
    <x v="134"/>
    <x v="140"/>
    <x v="1"/>
    <x v="3"/>
  </r>
  <r>
    <x v="162"/>
    <x v="8"/>
    <x v="138"/>
    <x v="3"/>
    <x v="162"/>
    <x v="10"/>
    <x v="135"/>
    <x v="141"/>
    <x v="1"/>
    <x v="3"/>
  </r>
  <r>
    <x v="163"/>
    <x v="8"/>
    <x v="138"/>
    <x v="3"/>
    <x v="163"/>
    <x v="20"/>
    <x v="136"/>
    <x v="142"/>
    <x v="1"/>
    <x v="3"/>
  </r>
  <r>
    <x v="164"/>
    <x v="8"/>
    <x v="139"/>
    <x v="2"/>
    <x v="164"/>
    <x v="7"/>
    <x v="137"/>
    <x v="143"/>
    <x v="50"/>
    <x v="0"/>
  </r>
  <r>
    <x v="165"/>
    <x v="8"/>
    <x v="113"/>
    <x v="1"/>
    <x v="165"/>
    <x v="1"/>
    <x v="111"/>
    <x v="114"/>
    <x v="1"/>
    <x v="0"/>
  </r>
  <r>
    <x v="166"/>
    <x v="8"/>
    <x v="140"/>
    <x v="2"/>
    <x v="166"/>
    <x v="5"/>
    <x v="138"/>
    <x v="144"/>
    <x v="1"/>
    <x v="0"/>
  </r>
  <r>
    <x v="167"/>
    <x v="9"/>
    <x v="141"/>
    <x v="4"/>
    <x v="167"/>
    <x v="1"/>
    <x v="139"/>
    <x v="145"/>
    <x v="1"/>
    <x v="0"/>
  </r>
  <r>
    <x v="168"/>
    <x v="9"/>
    <x v="142"/>
    <x v="0"/>
    <x v="168"/>
    <x v="21"/>
    <x v="140"/>
    <x v="146"/>
    <x v="1"/>
    <x v="0"/>
  </r>
  <r>
    <x v="169"/>
    <x v="10"/>
    <x v="143"/>
    <x v="1"/>
    <x v="169"/>
    <x v="1"/>
    <x v="141"/>
    <x v="147"/>
    <x v="1"/>
    <x v="0"/>
  </r>
  <r>
    <x v="170"/>
    <x v="10"/>
    <x v="144"/>
    <x v="1"/>
    <x v="170"/>
    <x v="1"/>
    <x v="141"/>
    <x v="147"/>
    <x v="1"/>
    <x v="0"/>
  </r>
  <r>
    <x v="171"/>
    <x v="11"/>
    <x v="87"/>
    <x v="0"/>
    <x v="171"/>
    <x v="1"/>
    <x v="142"/>
    <x v="148"/>
    <x v="51"/>
    <x v="0"/>
  </r>
  <r>
    <x v="172"/>
    <x v="11"/>
    <x v="145"/>
    <x v="0"/>
    <x v="172"/>
    <x v="4"/>
    <x v="143"/>
    <x v="149"/>
    <x v="1"/>
    <x v="0"/>
  </r>
  <r>
    <x v="173"/>
    <x v="11"/>
    <x v="146"/>
    <x v="1"/>
    <x v="173"/>
    <x v="1"/>
    <x v="144"/>
    <x v="150"/>
    <x v="52"/>
    <x v="0"/>
  </r>
  <r>
    <x v="174"/>
    <x v="11"/>
    <x v="147"/>
    <x v="1"/>
    <x v="174"/>
    <x v="1"/>
    <x v="145"/>
    <x v="151"/>
    <x v="1"/>
    <x v="0"/>
  </r>
  <r>
    <x v="175"/>
    <x v="11"/>
    <x v="148"/>
    <x v="0"/>
    <x v="175"/>
    <x v="1"/>
    <x v="142"/>
    <x v="152"/>
    <x v="53"/>
    <x v="0"/>
  </r>
  <r>
    <x v="176"/>
    <x v="11"/>
    <x v="149"/>
    <x v="0"/>
    <x v="176"/>
    <x v="4"/>
    <x v="146"/>
    <x v="153"/>
    <x v="1"/>
    <x v="0"/>
  </r>
  <r>
    <x v="177"/>
    <x v="11"/>
    <x v="150"/>
    <x v="1"/>
    <x v="177"/>
    <x v="1"/>
    <x v="147"/>
    <x v="154"/>
    <x v="1"/>
    <x v="0"/>
  </r>
  <r>
    <x v="178"/>
    <x v="11"/>
    <x v="151"/>
    <x v="3"/>
    <x v="178"/>
    <x v="10"/>
    <x v="148"/>
    <x v="155"/>
    <x v="1"/>
    <x v="0"/>
  </r>
  <r>
    <x v="179"/>
    <x v="11"/>
    <x v="152"/>
    <x v="0"/>
    <x v="179"/>
    <x v="1"/>
    <x v="149"/>
    <x v="156"/>
    <x v="1"/>
    <x v="0"/>
  </r>
  <r>
    <x v="180"/>
    <x v="11"/>
    <x v="152"/>
    <x v="0"/>
    <x v="180"/>
    <x v="4"/>
    <x v="150"/>
    <x v="157"/>
    <x v="1"/>
    <x v="0"/>
  </r>
  <r>
    <x v="181"/>
    <x v="11"/>
    <x v="153"/>
    <x v="0"/>
    <x v="181"/>
    <x v="10"/>
    <x v="151"/>
    <x v="158"/>
    <x v="1"/>
    <x v="0"/>
  </r>
  <r>
    <x v="182"/>
    <x v="11"/>
    <x v="154"/>
    <x v="1"/>
    <x v="182"/>
    <x v="1"/>
    <x v="152"/>
    <x v="159"/>
    <x v="54"/>
    <x v="0"/>
  </r>
  <r>
    <x v="183"/>
    <x v="11"/>
    <x v="155"/>
    <x v="2"/>
    <x v="183"/>
    <x v="2"/>
    <x v="41"/>
    <x v="160"/>
    <x v="1"/>
    <x v="0"/>
  </r>
  <r>
    <x v="184"/>
    <x v="12"/>
    <x v="156"/>
    <x v="1"/>
    <x v="184"/>
    <x v="1"/>
    <x v="153"/>
    <x v="161"/>
    <x v="1"/>
    <x v="0"/>
  </r>
  <r>
    <x v="185"/>
    <x v="12"/>
    <x v="157"/>
    <x v="1"/>
    <x v="185"/>
    <x v="1"/>
    <x v="154"/>
    <x v="162"/>
    <x v="55"/>
    <x v="0"/>
  </r>
  <r>
    <x v="186"/>
    <x v="12"/>
    <x v="158"/>
    <x v="1"/>
    <x v="186"/>
    <x v="3"/>
    <x v="155"/>
    <x v="163"/>
    <x v="1"/>
    <x v="0"/>
  </r>
  <r>
    <x v="187"/>
    <x v="12"/>
    <x v="159"/>
    <x v="1"/>
    <x v="187"/>
    <x v="1"/>
    <x v="156"/>
    <x v="164"/>
    <x v="1"/>
    <x v="1"/>
  </r>
  <r>
    <x v="188"/>
    <x v="12"/>
    <x v="160"/>
    <x v="0"/>
    <x v="188"/>
    <x v="4"/>
    <x v="157"/>
    <x v="165"/>
    <x v="1"/>
    <x v="0"/>
  </r>
  <r>
    <x v="189"/>
    <x v="13"/>
    <x v="161"/>
    <x v="0"/>
    <x v="189"/>
    <x v="4"/>
    <x v="158"/>
    <x v="166"/>
    <x v="1"/>
    <x v="2"/>
  </r>
  <r>
    <x v="190"/>
    <x v="13"/>
    <x v="162"/>
    <x v="0"/>
    <x v="190"/>
    <x v="4"/>
    <x v="159"/>
    <x v="167"/>
    <x v="1"/>
    <x v="2"/>
  </r>
  <r>
    <x v="191"/>
    <x v="13"/>
    <x v="163"/>
    <x v="0"/>
    <x v="191"/>
    <x v="4"/>
    <x v="160"/>
    <x v="168"/>
    <x v="1"/>
    <x v="2"/>
  </r>
  <r>
    <x v="192"/>
    <x v="13"/>
    <x v="164"/>
    <x v="1"/>
    <x v="192"/>
    <x v="1"/>
    <x v="141"/>
    <x v="147"/>
    <x v="1"/>
    <x v="0"/>
  </r>
  <r>
    <x v="193"/>
    <x v="13"/>
    <x v="165"/>
    <x v="1"/>
    <x v="193"/>
    <x v="1"/>
    <x v="141"/>
    <x v="147"/>
    <x v="1"/>
    <x v="0"/>
  </r>
  <r>
    <x v="194"/>
    <x v="13"/>
    <x v="161"/>
    <x v="0"/>
    <x v="194"/>
    <x v="1"/>
    <x v="161"/>
    <x v="169"/>
    <x v="1"/>
    <x v="0"/>
  </r>
  <r>
    <x v="195"/>
    <x v="13"/>
    <x v="28"/>
    <x v="2"/>
    <x v="195"/>
    <x v="6"/>
    <x v="162"/>
    <x v="170"/>
    <x v="1"/>
    <x v="0"/>
  </r>
  <r>
    <x v="196"/>
    <x v="14"/>
    <x v="166"/>
    <x v="2"/>
    <x v="196"/>
    <x v="7"/>
    <x v="163"/>
    <x v="171"/>
    <x v="56"/>
    <x v="0"/>
  </r>
  <r>
    <x v="197"/>
    <x v="14"/>
    <x v="167"/>
    <x v="1"/>
    <x v="197"/>
    <x v="3"/>
    <x v="164"/>
    <x v="172"/>
    <x v="1"/>
    <x v="0"/>
  </r>
  <r>
    <x v="198"/>
    <x v="14"/>
    <x v="168"/>
    <x v="1"/>
    <x v="198"/>
    <x v="1"/>
    <x v="141"/>
    <x v="147"/>
    <x v="1"/>
    <x v="0"/>
  </r>
  <r>
    <x v="199"/>
    <x v="14"/>
    <x v="169"/>
    <x v="1"/>
    <x v="199"/>
    <x v="1"/>
    <x v="165"/>
    <x v="173"/>
    <x v="57"/>
    <x v="0"/>
  </r>
  <r>
    <x v="200"/>
    <x v="14"/>
    <x v="170"/>
    <x v="2"/>
    <x v="200"/>
    <x v="10"/>
    <x v="166"/>
    <x v="174"/>
    <x v="1"/>
    <x v="0"/>
  </r>
  <r>
    <x v="201"/>
    <x v="15"/>
    <x v="171"/>
    <x v="0"/>
    <x v="201"/>
    <x v="10"/>
    <x v="167"/>
    <x v="175"/>
    <x v="58"/>
    <x v="0"/>
  </r>
  <r>
    <x v="202"/>
    <x v="16"/>
    <x v="146"/>
    <x v="1"/>
    <x v="202"/>
    <x v="1"/>
    <x v="168"/>
    <x v="176"/>
    <x v="1"/>
    <x v="0"/>
  </r>
  <r>
    <x v="203"/>
    <x v="16"/>
    <x v="172"/>
    <x v="2"/>
    <x v="203"/>
    <x v="2"/>
    <x v="169"/>
    <x v="177"/>
    <x v="1"/>
    <x v="0"/>
  </r>
  <r>
    <x v="204"/>
    <x v="16"/>
    <x v="173"/>
    <x v="2"/>
    <x v="204"/>
    <x v="7"/>
    <x v="114"/>
    <x v="178"/>
    <x v="59"/>
    <x v="0"/>
  </r>
  <r>
    <x v="205"/>
    <x v="16"/>
    <x v="174"/>
    <x v="1"/>
    <x v="205"/>
    <x v="1"/>
    <x v="141"/>
    <x v="179"/>
    <x v="60"/>
    <x v="0"/>
  </r>
  <r>
    <x v="206"/>
    <x v="17"/>
    <x v="175"/>
    <x v="2"/>
    <x v="206"/>
    <x v="6"/>
    <x v="170"/>
    <x v="180"/>
    <x v="1"/>
    <x v="0"/>
  </r>
  <r>
    <x v="207"/>
    <x v="17"/>
    <x v="176"/>
    <x v="1"/>
    <x v="207"/>
    <x v="3"/>
    <x v="171"/>
    <x v="181"/>
    <x v="1"/>
    <x v="1"/>
  </r>
  <r>
    <x v="208"/>
    <x v="17"/>
    <x v="177"/>
    <x v="1"/>
    <x v="208"/>
    <x v="1"/>
    <x v="141"/>
    <x v="147"/>
    <x v="1"/>
    <x v="0"/>
  </r>
  <r>
    <x v="209"/>
    <x v="17"/>
    <x v="178"/>
    <x v="0"/>
    <x v="209"/>
    <x v="4"/>
    <x v="172"/>
    <x v="182"/>
    <x v="1"/>
    <x v="0"/>
  </r>
  <r>
    <x v="210"/>
    <x v="17"/>
    <x v="179"/>
    <x v="2"/>
    <x v="210"/>
    <x v="22"/>
    <x v="173"/>
    <x v="183"/>
    <x v="1"/>
    <x v="0"/>
  </r>
  <r>
    <x v="211"/>
    <x v="18"/>
    <x v="180"/>
    <x v="1"/>
    <x v="211"/>
    <x v="23"/>
    <x v="174"/>
    <x v="184"/>
    <x v="1"/>
    <x v="0"/>
  </r>
  <r>
    <x v="212"/>
    <x v="18"/>
    <x v="181"/>
    <x v="3"/>
    <x v="212"/>
    <x v="10"/>
    <x v="175"/>
    <x v="185"/>
    <x v="1"/>
    <x v="0"/>
  </r>
  <r>
    <x v="213"/>
    <x v="18"/>
    <x v="173"/>
    <x v="2"/>
    <x v="213"/>
    <x v="7"/>
    <x v="176"/>
    <x v="186"/>
    <x v="61"/>
    <x v="0"/>
  </r>
</pivotCacheRecords>
</file>

<file path=xl/pivotCache/pivotCacheRecords3.xml><?xml version="1.0" encoding="utf-8"?>
<pivotCacheRecords xmlns:r="http://schemas.openxmlformats.org/officeDocument/2006/relationships" xmlns="http://schemas.openxmlformats.org/spreadsheetml/2006/main" count="214">
  <r>
    <x v="0"/>
    <x v="0"/>
    <x v="0"/>
    <x v="0"/>
    <x v="0"/>
    <x v="0"/>
    <x v="0"/>
    <x v="0"/>
    <x v="0"/>
    <x v="0"/>
    <x v="0"/>
    <x v="0"/>
    <x v="0"/>
  </r>
  <r>
    <x v="1"/>
    <x v="1"/>
    <x v="1"/>
    <x v="1"/>
    <x v="1"/>
    <x v="1"/>
    <x v="1"/>
    <x v="1"/>
    <x v="1"/>
    <x v="0"/>
    <x v="0"/>
    <x v="0"/>
    <x v="0"/>
  </r>
  <r>
    <x v="2"/>
    <x v="2"/>
    <x v="2"/>
    <x v="2"/>
    <x v="2"/>
    <x v="2"/>
    <x v="2"/>
    <x v="2"/>
    <x v="2"/>
    <x v="0"/>
    <x v="0"/>
    <x v="0"/>
    <x v="0"/>
  </r>
  <r>
    <x v="3"/>
    <x v="3"/>
    <x v="3"/>
    <x v="1"/>
    <x v="3"/>
    <x v="3"/>
    <x v="3"/>
    <x v="3"/>
    <x v="3"/>
    <x v="0"/>
    <x v="0"/>
    <x v="0"/>
    <x v="0"/>
  </r>
  <r>
    <x v="4"/>
    <x v="4"/>
    <x v="4"/>
    <x v="3"/>
    <x v="4"/>
    <x v="4"/>
    <x v="4"/>
    <x v="4"/>
    <x v="1"/>
    <x v="0"/>
    <x v="0"/>
    <x v="0"/>
    <x v="0"/>
  </r>
  <r>
    <x v="5"/>
    <x v="4"/>
    <x v="5"/>
    <x v="0"/>
    <x v="5"/>
    <x v="4"/>
    <x v="5"/>
    <x v="5"/>
    <x v="1"/>
    <x v="0"/>
    <x v="0"/>
    <x v="0"/>
    <x v="0"/>
  </r>
  <r>
    <x v="6"/>
    <x v="4"/>
    <x v="6"/>
    <x v="1"/>
    <x v="6"/>
    <x v="3"/>
    <x v="6"/>
    <x v="6"/>
    <x v="1"/>
    <x v="0"/>
    <x v="0"/>
    <x v="0"/>
    <x v="0"/>
  </r>
  <r>
    <x v="7"/>
    <x v="4"/>
    <x v="7"/>
    <x v="2"/>
    <x v="7"/>
    <x v="2"/>
    <x v="7"/>
    <x v="7"/>
    <x v="4"/>
    <x v="0"/>
    <x v="0"/>
    <x v="0"/>
    <x v="0"/>
  </r>
  <r>
    <x v="8"/>
    <x v="4"/>
    <x v="7"/>
    <x v="2"/>
    <x v="8"/>
    <x v="2"/>
    <x v="8"/>
    <x v="8"/>
    <x v="5"/>
    <x v="0"/>
    <x v="0"/>
    <x v="0"/>
    <x v="0"/>
  </r>
  <r>
    <x v="9"/>
    <x v="4"/>
    <x v="7"/>
    <x v="2"/>
    <x v="9"/>
    <x v="5"/>
    <x v="9"/>
    <x v="9"/>
    <x v="6"/>
    <x v="0"/>
    <x v="0"/>
    <x v="0"/>
    <x v="0"/>
  </r>
  <r>
    <x v="10"/>
    <x v="5"/>
    <x v="8"/>
    <x v="2"/>
    <x v="10"/>
    <x v="2"/>
    <x v="10"/>
    <x v="10"/>
    <x v="1"/>
    <x v="0"/>
    <x v="0"/>
    <x v="0"/>
    <x v="0"/>
  </r>
  <r>
    <x v="11"/>
    <x v="5"/>
    <x v="9"/>
    <x v="2"/>
    <x v="11"/>
    <x v="6"/>
    <x v="11"/>
    <x v="11"/>
    <x v="1"/>
    <x v="0"/>
    <x v="0"/>
    <x v="0"/>
    <x v="0"/>
  </r>
  <r>
    <x v="12"/>
    <x v="5"/>
    <x v="10"/>
    <x v="2"/>
    <x v="12"/>
    <x v="7"/>
    <x v="12"/>
    <x v="12"/>
    <x v="1"/>
    <x v="0"/>
    <x v="0"/>
    <x v="0"/>
    <x v="0"/>
  </r>
  <r>
    <x v="13"/>
    <x v="5"/>
    <x v="11"/>
    <x v="3"/>
    <x v="13"/>
    <x v="1"/>
    <x v="13"/>
    <x v="13"/>
    <x v="1"/>
    <x v="0"/>
    <x v="0"/>
    <x v="0"/>
    <x v="0"/>
  </r>
  <r>
    <x v="14"/>
    <x v="5"/>
    <x v="12"/>
    <x v="2"/>
    <x v="14"/>
    <x v="2"/>
    <x v="14"/>
    <x v="14"/>
    <x v="1"/>
    <x v="0"/>
    <x v="0"/>
    <x v="0"/>
    <x v="0"/>
  </r>
  <r>
    <x v="15"/>
    <x v="5"/>
    <x v="13"/>
    <x v="2"/>
    <x v="15"/>
    <x v="2"/>
    <x v="15"/>
    <x v="15"/>
    <x v="1"/>
    <x v="0"/>
    <x v="0"/>
    <x v="0"/>
    <x v="0"/>
  </r>
  <r>
    <x v="16"/>
    <x v="5"/>
    <x v="14"/>
    <x v="1"/>
    <x v="16"/>
    <x v="3"/>
    <x v="16"/>
    <x v="16"/>
    <x v="1"/>
    <x v="0"/>
    <x v="0"/>
    <x v="0"/>
    <x v="0"/>
  </r>
  <r>
    <x v="17"/>
    <x v="5"/>
    <x v="15"/>
    <x v="1"/>
    <x v="17"/>
    <x v="3"/>
    <x v="17"/>
    <x v="17"/>
    <x v="1"/>
    <x v="0"/>
    <x v="0"/>
    <x v="0"/>
    <x v="0"/>
  </r>
  <r>
    <x v="18"/>
    <x v="5"/>
    <x v="16"/>
    <x v="1"/>
    <x v="18"/>
    <x v="3"/>
    <x v="18"/>
    <x v="18"/>
    <x v="1"/>
    <x v="0"/>
    <x v="0"/>
    <x v="0"/>
    <x v="0"/>
  </r>
  <r>
    <x v="19"/>
    <x v="5"/>
    <x v="10"/>
    <x v="2"/>
    <x v="19"/>
    <x v="7"/>
    <x v="12"/>
    <x v="12"/>
    <x v="1"/>
    <x v="0"/>
    <x v="0"/>
    <x v="0"/>
    <x v="0"/>
  </r>
  <r>
    <x v="20"/>
    <x v="5"/>
    <x v="17"/>
    <x v="2"/>
    <x v="20"/>
    <x v="6"/>
    <x v="19"/>
    <x v="19"/>
    <x v="1"/>
    <x v="0"/>
    <x v="0"/>
    <x v="0"/>
    <x v="0"/>
  </r>
  <r>
    <x v="21"/>
    <x v="5"/>
    <x v="18"/>
    <x v="2"/>
    <x v="21"/>
    <x v="2"/>
    <x v="20"/>
    <x v="20"/>
    <x v="7"/>
    <x v="0"/>
    <x v="0"/>
    <x v="0"/>
    <x v="0"/>
  </r>
  <r>
    <x v="22"/>
    <x v="5"/>
    <x v="19"/>
    <x v="2"/>
    <x v="22"/>
    <x v="7"/>
    <x v="21"/>
    <x v="21"/>
    <x v="1"/>
    <x v="0"/>
    <x v="0"/>
    <x v="0"/>
    <x v="0"/>
  </r>
  <r>
    <x v="23"/>
    <x v="5"/>
    <x v="19"/>
    <x v="2"/>
    <x v="23"/>
    <x v="7"/>
    <x v="22"/>
    <x v="22"/>
    <x v="1"/>
    <x v="0"/>
    <x v="0"/>
    <x v="0"/>
    <x v="0"/>
  </r>
  <r>
    <x v="24"/>
    <x v="5"/>
    <x v="20"/>
    <x v="2"/>
    <x v="24"/>
    <x v="6"/>
    <x v="23"/>
    <x v="23"/>
    <x v="1"/>
    <x v="0"/>
    <x v="0"/>
    <x v="0"/>
    <x v="0"/>
  </r>
  <r>
    <x v="25"/>
    <x v="5"/>
    <x v="21"/>
    <x v="3"/>
    <x v="25"/>
    <x v="4"/>
    <x v="24"/>
    <x v="24"/>
    <x v="8"/>
    <x v="0"/>
    <x v="0"/>
    <x v="0"/>
    <x v="0"/>
  </r>
  <r>
    <x v="26"/>
    <x v="5"/>
    <x v="22"/>
    <x v="3"/>
    <x v="26"/>
    <x v="4"/>
    <x v="25"/>
    <x v="25"/>
    <x v="1"/>
    <x v="0"/>
    <x v="0"/>
    <x v="0"/>
    <x v="0"/>
  </r>
  <r>
    <x v="27"/>
    <x v="5"/>
    <x v="23"/>
    <x v="2"/>
    <x v="27"/>
    <x v="6"/>
    <x v="26"/>
    <x v="26"/>
    <x v="1"/>
    <x v="0"/>
    <x v="0"/>
    <x v="0"/>
    <x v="0"/>
  </r>
  <r>
    <x v="28"/>
    <x v="5"/>
    <x v="24"/>
    <x v="2"/>
    <x v="28"/>
    <x v="6"/>
    <x v="27"/>
    <x v="27"/>
    <x v="9"/>
    <x v="0"/>
    <x v="0"/>
    <x v="0"/>
    <x v="0"/>
  </r>
  <r>
    <x v="29"/>
    <x v="6"/>
    <x v="25"/>
    <x v="2"/>
    <x v="29"/>
    <x v="7"/>
    <x v="28"/>
    <x v="28"/>
    <x v="1"/>
    <x v="0"/>
    <x v="0"/>
    <x v="0"/>
    <x v="0"/>
  </r>
  <r>
    <x v="30"/>
    <x v="6"/>
    <x v="26"/>
    <x v="0"/>
    <x v="30"/>
    <x v="1"/>
    <x v="29"/>
    <x v="29"/>
    <x v="1"/>
    <x v="0"/>
    <x v="0"/>
    <x v="0"/>
    <x v="0"/>
  </r>
  <r>
    <x v="31"/>
    <x v="7"/>
    <x v="27"/>
    <x v="2"/>
    <x v="31"/>
    <x v="7"/>
    <x v="30"/>
    <x v="30"/>
    <x v="1"/>
    <x v="0"/>
    <x v="0"/>
    <x v="0"/>
    <x v="0"/>
  </r>
  <r>
    <x v="32"/>
    <x v="7"/>
    <x v="28"/>
    <x v="3"/>
    <x v="32"/>
    <x v="1"/>
    <x v="31"/>
    <x v="31"/>
    <x v="1"/>
    <x v="0"/>
    <x v="0"/>
    <x v="0"/>
    <x v="0"/>
  </r>
  <r>
    <x v="33"/>
    <x v="7"/>
    <x v="29"/>
    <x v="1"/>
    <x v="33"/>
    <x v="3"/>
    <x v="32"/>
    <x v="32"/>
    <x v="1"/>
    <x v="0"/>
    <x v="0"/>
    <x v="0"/>
    <x v="0"/>
  </r>
  <r>
    <x v="34"/>
    <x v="7"/>
    <x v="30"/>
    <x v="1"/>
    <x v="34"/>
    <x v="8"/>
    <x v="33"/>
    <x v="33"/>
    <x v="1"/>
    <x v="0"/>
    <x v="0"/>
    <x v="0"/>
    <x v="0"/>
  </r>
  <r>
    <x v="35"/>
    <x v="7"/>
    <x v="31"/>
    <x v="1"/>
    <x v="35"/>
    <x v="3"/>
    <x v="34"/>
    <x v="34"/>
    <x v="1"/>
    <x v="0"/>
    <x v="0"/>
    <x v="0"/>
    <x v="0"/>
  </r>
  <r>
    <x v="36"/>
    <x v="7"/>
    <x v="32"/>
    <x v="1"/>
    <x v="36"/>
    <x v="1"/>
    <x v="35"/>
    <x v="35"/>
    <x v="1"/>
    <x v="0"/>
    <x v="0"/>
    <x v="0"/>
    <x v="0"/>
  </r>
  <r>
    <x v="37"/>
    <x v="7"/>
    <x v="33"/>
    <x v="2"/>
    <x v="37"/>
    <x v="2"/>
    <x v="36"/>
    <x v="36"/>
    <x v="1"/>
    <x v="0"/>
    <x v="0"/>
    <x v="0"/>
    <x v="0"/>
  </r>
  <r>
    <x v="38"/>
    <x v="7"/>
    <x v="34"/>
    <x v="3"/>
    <x v="38"/>
    <x v="1"/>
    <x v="37"/>
    <x v="37"/>
    <x v="1"/>
    <x v="0"/>
    <x v="0"/>
    <x v="0"/>
    <x v="0"/>
  </r>
  <r>
    <x v="39"/>
    <x v="7"/>
    <x v="35"/>
    <x v="2"/>
    <x v="39"/>
    <x v="9"/>
    <x v="38"/>
    <x v="38"/>
    <x v="10"/>
    <x v="0"/>
    <x v="0"/>
    <x v="0"/>
    <x v="0"/>
  </r>
  <r>
    <x v="40"/>
    <x v="7"/>
    <x v="36"/>
    <x v="2"/>
    <x v="40"/>
    <x v="2"/>
    <x v="39"/>
    <x v="39"/>
    <x v="1"/>
    <x v="0"/>
    <x v="0"/>
    <x v="0"/>
    <x v="0"/>
  </r>
  <r>
    <x v="41"/>
    <x v="7"/>
    <x v="37"/>
    <x v="2"/>
    <x v="41"/>
    <x v="7"/>
    <x v="40"/>
    <x v="40"/>
    <x v="11"/>
    <x v="0"/>
    <x v="0"/>
    <x v="0"/>
    <x v="0"/>
  </r>
  <r>
    <x v="42"/>
    <x v="7"/>
    <x v="38"/>
    <x v="2"/>
    <x v="42"/>
    <x v="2"/>
    <x v="41"/>
    <x v="41"/>
    <x v="12"/>
    <x v="0"/>
    <x v="0"/>
    <x v="0"/>
    <x v="0"/>
  </r>
  <r>
    <x v="43"/>
    <x v="7"/>
    <x v="39"/>
    <x v="2"/>
    <x v="43"/>
    <x v="9"/>
    <x v="42"/>
    <x v="42"/>
    <x v="1"/>
    <x v="0"/>
    <x v="0"/>
    <x v="0"/>
    <x v="0"/>
  </r>
  <r>
    <x v="44"/>
    <x v="7"/>
    <x v="40"/>
    <x v="2"/>
    <x v="44"/>
    <x v="2"/>
    <x v="39"/>
    <x v="39"/>
    <x v="1"/>
    <x v="0"/>
    <x v="0"/>
    <x v="0"/>
    <x v="0"/>
  </r>
  <r>
    <x v="45"/>
    <x v="7"/>
    <x v="41"/>
    <x v="0"/>
    <x v="45"/>
    <x v="4"/>
    <x v="43"/>
    <x v="43"/>
    <x v="13"/>
    <x v="0"/>
    <x v="0"/>
    <x v="0"/>
    <x v="0"/>
  </r>
  <r>
    <x v="46"/>
    <x v="7"/>
    <x v="42"/>
    <x v="2"/>
    <x v="46"/>
    <x v="2"/>
    <x v="44"/>
    <x v="44"/>
    <x v="1"/>
    <x v="0"/>
    <x v="0"/>
    <x v="0"/>
    <x v="0"/>
  </r>
  <r>
    <x v="47"/>
    <x v="7"/>
    <x v="43"/>
    <x v="2"/>
    <x v="47"/>
    <x v="2"/>
    <x v="44"/>
    <x v="44"/>
    <x v="1"/>
    <x v="0"/>
    <x v="0"/>
    <x v="0"/>
    <x v="0"/>
  </r>
  <r>
    <x v="48"/>
    <x v="7"/>
    <x v="44"/>
    <x v="0"/>
    <x v="48"/>
    <x v="10"/>
    <x v="45"/>
    <x v="45"/>
    <x v="14"/>
    <x v="0"/>
    <x v="0"/>
    <x v="0"/>
    <x v="0"/>
  </r>
  <r>
    <x v="49"/>
    <x v="7"/>
    <x v="45"/>
    <x v="0"/>
    <x v="49"/>
    <x v="10"/>
    <x v="46"/>
    <x v="46"/>
    <x v="1"/>
    <x v="0"/>
    <x v="0"/>
    <x v="0"/>
    <x v="0"/>
  </r>
  <r>
    <x v="50"/>
    <x v="8"/>
    <x v="46"/>
    <x v="2"/>
    <x v="50"/>
    <x v="7"/>
    <x v="47"/>
    <x v="47"/>
    <x v="1"/>
    <x v="0"/>
    <x v="0"/>
    <x v="0"/>
    <x v="0"/>
  </r>
  <r>
    <x v="51"/>
    <x v="8"/>
    <x v="47"/>
    <x v="2"/>
    <x v="51"/>
    <x v="11"/>
    <x v="48"/>
    <x v="48"/>
    <x v="1"/>
    <x v="0"/>
    <x v="0"/>
    <x v="0"/>
    <x v="0"/>
  </r>
  <r>
    <x v="52"/>
    <x v="8"/>
    <x v="48"/>
    <x v="2"/>
    <x v="52"/>
    <x v="2"/>
    <x v="49"/>
    <x v="49"/>
    <x v="1"/>
    <x v="0"/>
    <x v="0"/>
    <x v="0"/>
    <x v="0"/>
  </r>
  <r>
    <x v="53"/>
    <x v="8"/>
    <x v="49"/>
    <x v="2"/>
    <x v="53"/>
    <x v="11"/>
    <x v="50"/>
    <x v="50"/>
    <x v="1"/>
    <x v="0"/>
    <x v="0"/>
    <x v="0"/>
    <x v="0"/>
  </r>
  <r>
    <x v="54"/>
    <x v="8"/>
    <x v="50"/>
    <x v="2"/>
    <x v="54"/>
    <x v="9"/>
    <x v="51"/>
    <x v="51"/>
    <x v="1"/>
    <x v="0"/>
    <x v="0"/>
    <x v="0"/>
    <x v="0"/>
  </r>
  <r>
    <x v="55"/>
    <x v="8"/>
    <x v="51"/>
    <x v="2"/>
    <x v="55"/>
    <x v="7"/>
    <x v="52"/>
    <x v="52"/>
    <x v="1"/>
    <x v="0"/>
    <x v="0"/>
    <x v="0"/>
    <x v="0"/>
  </r>
  <r>
    <x v="56"/>
    <x v="8"/>
    <x v="52"/>
    <x v="3"/>
    <x v="56"/>
    <x v="1"/>
    <x v="53"/>
    <x v="53"/>
    <x v="1"/>
    <x v="0"/>
    <x v="0"/>
    <x v="0"/>
    <x v="0"/>
  </r>
  <r>
    <x v="57"/>
    <x v="8"/>
    <x v="53"/>
    <x v="2"/>
    <x v="57"/>
    <x v="7"/>
    <x v="52"/>
    <x v="52"/>
    <x v="1"/>
    <x v="0"/>
    <x v="0"/>
    <x v="0"/>
    <x v="0"/>
  </r>
  <r>
    <x v="58"/>
    <x v="8"/>
    <x v="54"/>
    <x v="2"/>
    <x v="58"/>
    <x v="2"/>
    <x v="54"/>
    <x v="54"/>
    <x v="1"/>
    <x v="0"/>
    <x v="0"/>
    <x v="0"/>
    <x v="0"/>
  </r>
  <r>
    <x v="59"/>
    <x v="8"/>
    <x v="55"/>
    <x v="1"/>
    <x v="59"/>
    <x v="3"/>
    <x v="55"/>
    <x v="55"/>
    <x v="1"/>
    <x v="0"/>
    <x v="0"/>
    <x v="0"/>
    <x v="0"/>
  </r>
  <r>
    <x v="60"/>
    <x v="8"/>
    <x v="56"/>
    <x v="2"/>
    <x v="60"/>
    <x v="7"/>
    <x v="56"/>
    <x v="56"/>
    <x v="1"/>
    <x v="0"/>
    <x v="0"/>
    <x v="0"/>
    <x v="0"/>
  </r>
  <r>
    <x v="61"/>
    <x v="8"/>
    <x v="57"/>
    <x v="2"/>
    <x v="61"/>
    <x v="7"/>
    <x v="57"/>
    <x v="57"/>
    <x v="1"/>
    <x v="0"/>
    <x v="0"/>
    <x v="0"/>
    <x v="0"/>
  </r>
  <r>
    <x v="62"/>
    <x v="8"/>
    <x v="58"/>
    <x v="2"/>
    <x v="62"/>
    <x v="7"/>
    <x v="58"/>
    <x v="58"/>
    <x v="1"/>
    <x v="0"/>
    <x v="0"/>
    <x v="0"/>
    <x v="0"/>
  </r>
  <r>
    <x v="63"/>
    <x v="8"/>
    <x v="59"/>
    <x v="2"/>
    <x v="63"/>
    <x v="7"/>
    <x v="59"/>
    <x v="59"/>
    <x v="1"/>
    <x v="0"/>
    <x v="0"/>
    <x v="0"/>
    <x v="0"/>
  </r>
  <r>
    <x v="64"/>
    <x v="8"/>
    <x v="60"/>
    <x v="3"/>
    <x v="64"/>
    <x v="1"/>
    <x v="60"/>
    <x v="60"/>
    <x v="1"/>
    <x v="0"/>
    <x v="0"/>
    <x v="0"/>
    <x v="0"/>
  </r>
  <r>
    <x v="65"/>
    <x v="8"/>
    <x v="61"/>
    <x v="3"/>
    <x v="65"/>
    <x v="4"/>
    <x v="61"/>
    <x v="61"/>
    <x v="1"/>
    <x v="0"/>
    <x v="0"/>
    <x v="0"/>
    <x v="0"/>
  </r>
  <r>
    <x v="66"/>
    <x v="8"/>
    <x v="58"/>
    <x v="2"/>
    <x v="66"/>
    <x v="7"/>
    <x v="59"/>
    <x v="59"/>
    <x v="1"/>
    <x v="0"/>
    <x v="0"/>
    <x v="0"/>
    <x v="0"/>
  </r>
  <r>
    <x v="67"/>
    <x v="8"/>
    <x v="62"/>
    <x v="2"/>
    <x v="67"/>
    <x v="2"/>
    <x v="62"/>
    <x v="62"/>
    <x v="15"/>
    <x v="0"/>
    <x v="0"/>
    <x v="0"/>
    <x v="0"/>
  </r>
  <r>
    <x v="68"/>
    <x v="8"/>
    <x v="63"/>
    <x v="2"/>
    <x v="68"/>
    <x v="7"/>
    <x v="63"/>
    <x v="63"/>
    <x v="16"/>
    <x v="0"/>
    <x v="0"/>
    <x v="0"/>
    <x v="0"/>
  </r>
  <r>
    <x v="69"/>
    <x v="8"/>
    <x v="64"/>
    <x v="2"/>
    <x v="69"/>
    <x v="12"/>
    <x v="64"/>
    <x v="64"/>
    <x v="17"/>
    <x v="0"/>
    <x v="0"/>
    <x v="0"/>
    <x v="0"/>
  </r>
  <r>
    <x v="70"/>
    <x v="8"/>
    <x v="65"/>
    <x v="4"/>
    <x v="70"/>
    <x v="1"/>
    <x v="65"/>
    <x v="65"/>
    <x v="1"/>
    <x v="0"/>
    <x v="0"/>
    <x v="0"/>
    <x v="0"/>
  </r>
  <r>
    <x v="71"/>
    <x v="8"/>
    <x v="66"/>
    <x v="2"/>
    <x v="71"/>
    <x v="7"/>
    <x v="57"/>
    <x v="66"/>
    <x v="18"/>
    <x v="0"/>
    <x v="0"/>
    <x v="0"/>
    <x v="0"/>
  </r>
  <r>
    <x v="72"/>
    <x v="8"/>
    <x v="64"/>
    <x v="2"/>
    <x v="72"/>
    <x v="12"/>
    <x v="64"/>
    <x v="67"/>
    <x v="1"/>
    <x v="0"/>
    <x v="0"/>
    <x v="0"/>
    <x v="0"/>
  </r>
  <r>
    <x v="73"/>
    <x v="8"/>
    <x v="67"/>
    <x v="2"/>
    <x v="73"/>
    <x v="7"/>
    <x v="66"/>
    <x v="68"/>
    <x v="19"/>
    <x v="0"/>
    <x v="0"/>
    <x v="0"/>
    <x v="0"/>
  </r>
  <r>
    <x v="74"/>
    <x v="8"/>
    <x v="52"/>
    <x v="3"/>
    <x v="74"/>
    <x v="1"/>
    <x v="53"/>
    <x v="53"/>
    <x v="1"/>
    <x v="0"/>
    <x v="0"/>
    <x v="0"/>
    <x v="0"/>
  </r>
  <r>
    <x v="75"/>
    <x v="8"/>
    <x v="68"/>
    <x v="0"/>
    <x v="75"/>
    <x v="4"/>
    <x v="67"/>
    <x v="69"/>
    <x v="1"/>
    <x v="0"/>
    <x v="0"/>
    <x v="0"/>
    <x v="0"/>
  </r>
  <r>
    <x v="76"/>
    <x v="8"/>
    <x v="69"/>
    <x v="1"/>
    <x v="76"/>
    <x v="1"/>
    <x v="68"/>
    <x v="70"/>
    <x v="1"/>
    <x v="0"/>
    <x v="0"/>
    <x v="0"/>
    <x v="0"/>
  </r>
  <r>
    <x v="77"/>
    <x v="8"/>
    <x v="70"/>
    <x v="1"/>
    <x v="77"/>
    <x v="1"/>
    <x v="69"/>
    <x v="71"/>
    <x v="1"/>
    <x v="0"/>
    <x v="0"/>
    <x v="0"/>
    <x v="0"/>
  </r>
  <r>
    <x v="78"/>
    <x v="8"/>
    <x v="17"/>
    <x v="3"/>
    <x v="78"/>
    <x v="1"/>
    <x v="70"/>
    <x v="72"/>
    <x v="1"/>
    <x v="0"/>
    <x v="0"/>
    <x v="0"/>
    <x v="0"/>
  </r>
  <r>
    <x v="79"/>
    <x v="8"/>
    <x v="71"/>
    <x v="3"/>
    <x v="79"/>
    <x v="4"/>
    <x v="71"/>
    <x v="73"/>
    <x v="1"/>
    <x v="0"/>
    <x v="0"/>
    <x v="0"/>
    <x v="0"/>
  </r>
  <r>
    <x v="80"/>
    <x v="8"/>
    <x v="72"/>
    <x v="2"/>
    <x v="80"/>
    <x v="7"/>
    <x v="72"/>
    <x v="74"/>
    <x v="1"/>
    <x v="0"/>
    <x v="0"/>
    <x v="0"/>
    <x v="0"/>
  </r>
  <r>
    <x v="81"/>
    <x v="8"/>
    <x v="73"/>
    <x v="3"/>
    <x v="81"/>
    <x v="4"/>
    <x v="73"/>
    <x v="75"/>
    <x v="1"/>
    <x v="0"/>
    <x v="0"/>
    <x v="0"/>
    <x v="0"/>
  </r>
  <r>
    <x v="82"/>
    <x v="8"/>
    <x v="74"/>
    <x v="3"/>
    <x v="82"/>
    <x v="4"/>
    <x v="73"/>
    <x v="75"/>
    <x v="1"/>
    <x v="0"/>
    <x v="0"/>
    <x v="0"/>
    <x v="0"/>
  </r>
  <r>
    <x v="83"/>
    <x v="8"/>
    <x v="75"/>
    <x v="3"/>
    <x v="83"/>
    <x v="4"/>
    <x v="73"/>
    <x v="75"/>
    <x v="1"/>
    <x v="0"/>
    <x v="0"/>
    <x v="0"/>
    <x v="0"/>
  </r>
  <r>
    <x v="84"/>
    <x v="8"/>
    <x v="76"/>
    <x v="2"/>
    <x v="84"/>
    <x v="2"/>
    <x v="74"/>
    <x v="76"/>
    <x v="20"/>
    <x v="0"/>
    <x v="0"/>
    <x v="0"/>
    <x v="0"/>
  </r>
  <r>
    <x v="85"/>
    <x v="8"/>
    <x v="77"/>
    <x v="2"/>
    <x v="85"/>
    <x v="13"/>
    <x v="75"/>
    <x v="77"/>
    <x v="21"/>
    <x v="0"/>
    <x v="0"/>
    <x v="0"/>
    <x v="0"/>
  </r>
  <r>
    <x v="86"/>
    <x v="8"/>
    <x v="78"/>
    <x v="2"/>
    <x v="86"/>
    <x v="14"/>
    <x v="76"/>
    <x v="78"/>
    <x v="22"/>
    <x v="0"/>
    <x v="0"/>
    <x v="0"/>
    <x v="0"/>
  </r>
  <r>
    <x v="87"/>
    <x v="8"/>
    <x v="79"/>
    <x v="2"/>
    <x v="87"/>
    <x v="7"/>
    <x v="77"/>
    <x v="79"/>
    <x v="1"/>
    <x v="0"/>
    <x v="0"/>
    <x v="0"/>
    <x v="0"/>
  </r>
  <r>
    <x v="88"/>
    <x v="8"/>
    <x v="80"/>
    <x v="2"/>
    <x v="88"/>
    <x v="7"/>
    <x v="78"/>
    <x v="80"/>
    <x v="1"/>
    <x v="0"/>
    <x v="0"/>
    <x v="0"/>
    <x v="0"/>
  </r>
  <r>
    <x v="89"/>
    <x v="8"/>
    <x v="80"/>
    <x v="2"/>
    <x v="89"/>
    <x v="5"/>
    <x v="79"/>
    <x v="81"/>
    <x v="1"/>
    <x v="0"/>
    <x v="0"/>
    <x v="0"/>
    <x v="0"/>
  </r>
  <r>
    <x v="90"/>
    <x v="8"/>
    <x v="81"/>
    <x v="2"/>
    <x v="90"/>
    <x v="2"/>
    <x v="80"/>
    <x v="82"/>
    <x v="23"/>
    <x v="0"/>
    <x v="0"/>
    <x v="0"/>
    <x v="0"/>
  </r>
  <r>
    <x v="91"/>
    <x v="8"/>
    <x v="82"/>
    <x v="2"/>
    <x v="91"/>
    <x v="13"/>
    <x v="81"/>
    <x v="83"/>
    <x v="1"/>
    <x v="0"/>
    <x v="0"/>
    <x v="0"/>
    <x v="0"/>
  </r>
  <r>
    <x v="92"/>
    <x v="8"/>
    <x v="83"/>
    <x v="2"/>
    <x v="92"/>
    <x v="15"/>
    <x v="82"/>
    <x v="84"/>
    <x v="1"/>
    <x v="0"/>
    <x v="0"/>
    <x v="0"/>
    <x v="0"/>
  </r>
  <r>
    <x v="93"/>
    <x v="8"/>
    <x v="84"/>
    <x v="2"/>
    <x v="93"/>
    <x v="7"/>
    <x v="83"/>
    <x v="85"/>
    <x v="24"/>
    <x v="0"/>
    <x v="0"/>
    <x v="0"/>
    <x v="0"/>
  </r>
  <r>
    <x v="94"/>
    <x v="8"/>
    <x v="85"/>
    <x v="3"/>
    <x v="94"/>
    <x v="1"/>
    <x v="84"/>
    <x v="86"/>
    <x v="1"/>
    <x v="0"/>
    <x v="0"/>
    <x v="0"/>
    <x v="0"/>
  </r>
  <r>
    <x v="95"/>
    <x v="8"/>
    <x v="86"/>
    <x v="2"/>
    <x v="95"/>
    <x v="7"/>
    <x v="85"/>
    <x v="87"/>
    <x v="1"/>
    <x v="0"/>
    <x v="0"/>
    <x v="0"/>
    <x v="0"/>
  </r>
  <r>
    <x v="96"/>
    <x v="8"/>
    <x v="87"/>
    <x v="2"/>
    <x v="96"/>
    <x v="7"/>
    <x v="86"/>
    <x v="88"/>
    <x v="25"/>
    <x v="0"/>
    <x v="0"/>
    <x v="0"/>
    <x v="0"/>
  </r>
  <r>
    <x v="97"/>
    <x v="8"/>
    <x v="88"/>
    <x v="2"/>
    <x v="97"/>
    <x v="2"/>
    <x v="62"/>
    <x v="89"/>
    <x v="26"/>
    <x v="0"/>
    <x v="0"/>
    <x v="0"/>
    <x v="0"/>
  </r>
  <r>
    <x v="98"/>
    <x v="8"/>
    <x v="89"/>
    <x v="0"/>
    <x v="98"/>
    <x v="4"/>
    <x v="87"/>
    <x v="90"/>
    <x v="1"/>
    <x v="0"/>
    <x v="0"/>
    <x v="0"/>
    <x v="0"/>
  </r>
  <r>
    <x v="99"/>
    <x v="8"/>
    <x v="90"/>
    <x v="0"/>
    <x v="99"/>
    <x v="16"/>
    <x v="88"/>
    <x v="91"/>
    <x v="1"/>
    <x v="0"/>
    <x v="0"/>
    <x v="0"/>
    <x v="0"/>
  </r>
  <r>
    <x v="100"/>
    <x v="8"/>
    <x v="91"/>
    <x v="2"/>
    <x v="100"/>
    <x v="7"/>
    <x v="72"/>
    <x v="74"/>
    <x v="1"/>
    <x v="0"/>
    <x v="0"/>
    <x v="0"/>
    <x v="0"/>
  </r>
  <r>
    <x v="101"/>
    <x v="8"/>
    <x v="28"/>
    <x v="3"/>
    <x v="101"/>
    <x v="1"/>
    <x v="70"/>
    <x v="72"/>
    <x v="1"/>
    <x v="0"/>
    <x v="0"/>
    <x v="0"/>
    <x v="0"/>
  </r>
  <r>
    <x v="102"/>
    <x v="8"/>
    <x v="92"/>
    <x v="1"/>
    <x v="102"/>
    <x v="1"/>
    <x v="89"/>
    <x v="92"/>
    <x v="27"/>
    <x v="0"/>
    <x v="0"/>
    <x v="0"/>
    <x v="0"/>
  </r>
  <r>
    <x v="103"/>
    <x v="8"/>
    <x v="93"/>
    <x v="2"/>
    <x v="103"/>
    <x v="2"/>
    <x v="36"/>
    <x v="36"/>
    <x v="1"/>
    <x v="0"/>
    <x v="0"/>
    <x v="0"/>
    <x v="0"/>
  </r>
  <r>
    <x v="104"/>
    <x v="8"/>
    <x v="94"/>
    <x v="2"/>
    <x v="104"/>
    <x v="2"/>
    <x v="90"/>
    <x v="93"/>
    <x v="28"/>
    <x v="0"/>
    <x v="0"/>
    <x v="0"/>
    <x v="0"/>
  </r>
  <r>
    <x v="105"/>
    <x v="8"/>
    <x v="95"/>
    <x v="2"/>
    <x v="105"/>
    <x v="2"/>
    <x v="36"/>
    <x v="36"/>
    <x v="1"/>
    <x v="0"/>
    <x v="0"/>
    <x v="0"/>
    <x v="0"/>
  </r>
  <r>
    <x v="106"/>
    <x v="8"/>
    <x v="96"/>
    <x v="1"/>
    <x v="106"/>
    <x v="1"/>
    <x v="91"/>
    <x v="94"/>
    <x v="29"/>
    <x v="0"/>
    <x v="0"/>
    <x v="0"/>
    <x v="0"/>
  </r>
  <r>
    <x v="107"/>
    <x v="8"/>
    <x v="97"/>
    <x v="2"/>
    <x v="107"/>
    <x v="2"/>
    <x v="92"/>
    <x v="95"/>
    <x v="30"/>
    <x v="0"/>
    <x v="0"/>
    <x v="0"/>
    <x v="0"/>
  </r>
  <r>
    <x v="108"/>
    <x v="8"/>
    <x v="98"/>
    <x v="2"/>
    <x v="108"/>
    <x v="2"/>
    <x v="92"/>
    <x v="96"/>
    <x v="31"/>
    <x v="0"/>
    <x v="0"/>
    <x v="0"/>
    <x v="0"/>
  </r>
  <r>
    <x v="109"/>
    <x v="8"/>
    <x v="99"/>
    <x v="2"/>
    <x v="109"/>
    <x v="2"/>
    <x v="36"/>
    <x v="36"/>
    <x v="1"/>
    <x v="0"/>
    <x v="0"/>
    <x v="0"/>
    <x v="0"/>
  </r>
  <r>
    <x v="110"/>
    <x v="8"/>
    <x v="100"/>
    <x v="2"/>
    <x v="110"/>
    <x v="2"/>
    <x v="93"/>
    <x v="97"/>
    <x v="1"/>
    <x v="0"/>
    <x v="0"/>
    <x v="0"/>
    <x v="0"/>
  </r>
  <r>
    <x v="111"/>
    <x v="8"/>
    <x v="101"/>
    <x v="2"/>
    <x v="111"/>
    <x v="2"/>
    <x v="94"/>
    <x v="98"/>
    <x v="1"/>
    <x v="0"/>
    <x v="0"/>
    <x v="0"/>
    <x v="0"/>
  </r>
  <r>
    <x v="112"/>
    <x v="8"/>
    <x v="102"/>
    <x v="2"/>
    <x v="112"/>
    <x v="12"/>
    <x v="95"/>
    <x v="99"/>
    <x v="32"/>
    <x v="0"/>
    <x v="0"/>
    <x v="0"/>
    <x v="0"/>
  </r>
  <r>
    <x v="113"/>
    <x v="8"/>
    <x v="103"/>
    <x v="2"/>
    <x v="113"/>
    <x v="7"/>
    <x v="96"/>
    <x v="100"/>
    <x v="33"/>
    <x v="0"/>
    <x v="0"/>
    <x v="0"/>
    <x v="0"/>
  </r>
  <r>
    <x v="114"/>
    <x v="8"/>
    <x v="104"/>
    <x v="3"/>
    <x v="114"/>
    <x v="1"/>
    <x v="97"/>
    <x v="101"/>
    <x v="1"/>
    <x v="0"/>
    <x v="0"/>
    <x v="0"/>
    <x v="0"/>
  </r>
  <r>
    <x v="115"/>
    <x v="8"/>
    <x v="105"/>
    <x v="3"/>
    <x v="115"/>
    <x v="4"/>
    <x v="98"/>
    <x v="102"/>
    <x v="1"/>
    <x v="0"/>
    <x v="0"/>
    <x v="0"/>
    <x v="0"/>
  </r>
  <r>
    <x v="116"/>
    <x v="8"/>
    <x v="106"/>
    <x v="1"/>
    <x v="116"/>
    <x v="1"/>
    <x v="99"/>
    <x v="103"/>
    <x v="34"/>
    <x v="0"/>
    <x v="0"/>
    <x v="0"/>
    <x v="0"/>
  </r>
  <r>
    <x v="117"/>
    <x v="8"/>
    <x v="107"/>
    <x v="4"/>
    <x v="117"/>
    <x v="3"/>
    <x v="100"/>
    <x v="104"/>
    <x v="1"/>
    <x v="0"/>
    <x v="0"/>
    <x v="0"/>
    <x v="0"/>
  </r>
  <r>
    <x v="118"/>
    <x v="8"/>
    <x v="108"/>
    <x v="0"/>
    <x v="118"/>
    <x v="10"/>
    <x v="101"/>
    <x v="105"/>
    <x v="35"/>
    <x v="0"/>
    <x v="0"/>
    <x v="0"/>
    <x v="0"/>
  </r>
  <r>
    <x v="119"/>
    <x v="8"/>
    <x v="109"/>
    <x v="3"/>
    <x v="119"/>
    <x v="16"/>
    <x v="102"/>
    <x v="106"/>
    <x v="36"/>
    <x v="0"/>
    <x v="0"/>
    <x v="0"/>
    <x v="0"/>
  </r>
  <r>
    <x v="120"/>
    <x v="8"/>
    <x v="109"/>
    <x v="3"/>
    <x v="120"/>
    <x v="1"/>
    <x v="103"/>
    <x v="107"/>
    <x v="37"/>
    <x v="0"/>
    <x v="0"/>
    <x v="0"/>
    <x v="0"/>
  </r>
  <r>
    <x v="121"/>
    <x v="8"/>
    <x v="109"/>
    <x v="3"/>
    <x v="121"/>
    <x v="1"/>
    <x v="104"/>
    <x v="107"/>
    <x v="38"/>
    <x v="0"/>
    <x v="0"/>
    <x v="0"/>
    <x v="0"/>
  </r>
  <r>
    <x v="122"/>
    <x v="8"/>
    <x v="109"/>
    <x v="3"/>
    <x v="122"/>
    <x v="1"/>
    <x v="104"/>
    <x v="107"/>
    <x v="38"/>
    <x v="0"/>
    <x v="0"/>
    <x v="0"/>
    <x v="0"/>
  </r>
  <r>
    <x v="123"/>
    <x v="8"/>
    <x v="109"/>
    <x v="3"/>
    <x v="123"/>
    <x v="4"/>
    <x v="105"/>
    <x v="108"/>
    <x v="39"/>
    <x v="0"/>
    <x v="0"/>
    <x v="0"/>
    <x v="0"/>
  </r>
  <r>
    <x v="124"/>
    <x v="8"/>
    <x v="109"/>
    <x v="3"/>
    <x v="124"/>
    <x v="4"/>
    <x v="106"/>
    <x v="108"/>
    <x v="40"/>
    <x v="0"/>
    <x v="0"/>
    <x v="0"/>
    <x v="0"/>
  </r>
  <r>
    <x v="125"/>
    <x v="8"/>
    <x v="109"/>
    <x v="3"/>
    <x v="125"/>
    <x v="0"/>
    <x v="107"/>
    <x v="109"/>
    <x v="41"/>
    <x v="0"/>
    <x v="0"/>
    <x v="0"/>
    <x v="0"/>
  </r>
  <r>
    <x v="126"/>
    <x v="8"/>
    <x v="109"/>
    <x v="3"/>
    <x v="126"/>
    <x v="4"/>
    <x v="105"/>
    <x v="108"/>
    <x v="39"/>
    <x v="0"/>
    <x v="0"/>
    <x v="0"/>
    <x v="0"/>
  </r>
  <r>
    <x v="127"/>
    <x v="8"/>
    <x v="110"/>
    <x v="2"/>
    <x v="127"/>
    <x v="5"/>
    <x v="108"/>
    <x v="110"/>
    <x v="1"/>
    <x v="0"/>
    <x v="0"/>
    <x v="0"/>
    <x v="0"/>
  </r>
  <r>
    <x v="128"/>
    <x v="8"/>
    <x v="111"/>
    <x v="2"/>
    <x v="128"/>
    <x v="17"/>
    <x v="109"/>
    <x v="111"/>
    <x v="1"/>
    <x v="0"/>
    <x v="0"/>
    <x v="0"/>
    <x v="0"/>
  </r>
  <r>
    <x v="129"/>
    <x v="8"/>
    <x v="112"/>
    <x v="2"/>
    <x v="129"/>
    <x v="2"/>
    <x v="36"/>
    <x v="112"/>
    <x v="12"/>
    <x v="0"/>
    <x v="0"/>
    <x v="0"/>
    <x v="0"/>
  </r>
  <r>
    <x v="130"/>
    <x v="8"/>
    <x v="17"/>
    <x v="3"/>
    <x v="130"/>
    <x v="1"/>
    <x v="110"/>
    <x v="113"/>
    <x v="1"/>
    <x v="0"/>
    <x v="0"/>
    <x v="0"/>
    <x v="0"/>
  </r>
  <r>
    <x v="131"/>
    <x v="8"/>
    <x v="113"/>
    <x v="1"/>
    <x v="131"/>
    <x v="1"/>
    <x v="111"/>
    <x v="114"/>
    <x v="1"/>
    <x v="0"/>
    <x v="0"/>
    <x v="0"/>
    <x v="0"/>
  </r>
  <r>
    <x v="132"/>
    <x v="8"/>
    <x v="114"/>
    <x v="1"/>
    <x v="132"/>
    <x v="1"/>
    <x v="112"/>
    <x v="115"/>
    <x v="1"/>
    <x v="0"/>
    <x v="0"/>
    <x v="0"/>
    <x v="0"/>
  </r>
  <r>
    <x v="133"/>
    <x v="8"/>
    <x v="115"/>
    <x v="1"/>
    <x v="133"/>
    <x v="3"/>
    <x v="113"/>
    <x v="116"/>
    <x v="42"/>
    <x v="0"/>
    <x v="0"/>
    <x v="0"/>
    <x v="0"/>
  </r>
  <r>
    <x v="134"/>
    <x v="8"/>
    <x v="116"/>
    <x v="2"/>
    <x v="134"/>
    <x v="7"/>
    <x v="59"/>
    <x v="59"/>
    <x v="1"/>
    <x v="0"/>
    <x v="0"/>
    <x v="0"/>
    <x v="0"/>
  </r>
  <r>
    <x v="135"/>
    <x v="8"/>
    <x v="117"/>
    <x v="2"/>
    <x v="135"/>
    <x v="7"/>
    <x v="114"/>
    <x v="117"/>
    <x v="1"/>
    <x v="0"/>
    <x v="0"/>
    <x v="0"/>
    <x v="0"/>
  </r>
  <r>
    <x v="136"/>
    <x v="8"/>
    <x v="118"/>
    <x v="2"/>
    <x v="136"/>
    <x v="7"/>
    <x v="59"/>
    <x v="59"/>
    <x v="1"/>
    <x v="0"/>
    <x v="0"/>
    <x v="0"/>
    <x v="0"/>
  </r>
  <r>
    <x v="137"/>
    <x v="8"/>
    <x v="119"/>
    <x v="2"/>
    <x v="137"/>
    <x v="2"/>
    <x v="115"/>
    <x v="118"/>
    <x v="1"/>
    <x v="0"/>
    <x v="0"/>
    <x v="0"/>
    <x v="0"/>
  </r>
  <r>
    <x v="138"/>
    <x v="8"/>
    <x v="120"/>
    <x v="1"/>
    <x v="138"/>
    <x v="1"/>
    <x v="116"/>
    <x v="119"/>
    <x v="1"/>
    <x v="0"/>
    <x v="0"/>
    <x v="0"/>
    <x v="0"/>
  </r>
  <r>
    <x v="139"/>
    <x v="8"/>
    <x v="111"/>
    <x v="2"/>
    <x v="139"/>
    <x v="17"/>
    <x v="117"/>
    <x v="120"/>
    <x v="43"/>
    <x v="0"/>
    <x v="0"/>
    <x v="0"/>
    <x v="0"/>
  </r>
  <r>
    <x v="140"/>
    <x v="8"/>
    <x v="121"/>
    <x v="1"/>
    <x v="140"/>
    <x v="3"/>
    <x v="118"/>
    <x v="121"/>
    <x v="1"/>
    <x v="0"/>
    <x v="0"/>
    <x v="0"/>
    <x v="0"/>
  </r>
  <r>
    <x v="141"/>
    <x v="8"/>
    <x v="122"/>
    <x v="4"/>
    <x v="141"/>
    <x v="1"/>
    <x v="65"/>
    <x v="65"/>
    <x v="1"/>
    <x v="0"/>
    <x v="0"/>
    <x v="0"/>
    <x v="0"/>
  </r>
  <r>
    <x v="142"/>
    <x v="8"/>
    <x v="123"/>
    <x v="2"/>
    <x v="142"/>
    <x v="7"/>
    <x v="119"/>
    <x v="122"/>
    <x v="1"/>
    <x v="0"/>
    <x v="0"/>
    <x v="0"/>
    <x v="0"/>
  </r>
  <r>
    <x v="143"/>
    <x v="8"/>
    <x v="124"/>
    <x v="0"/>
    <x v="143"/>
    <x v="4"/>
    <x v="120"/>
    <x v="123"/>
    <x v="1"/>
    <x v="0"/>
    <x v="0"/>
    <x v="0"/>
    <x v="0"/>
  </r>
  <r>
    <x v="144"/>
    <x v="8"/>
    <x v="125"/>
    <x v="1"/>
    <x v="144"/>
    <x v="3"/>
    <x v="113"/>
    <x v="124"/>
    <x v="1"/>
    <x v="0"/>
    <x v="0"/>
    <x v="0"/>
    <x v="0"/>
  </r>
  <r>
    <x v="145"/>
    <x v="8"/>
    <x v="126"/>
    <x v="1"/>
    <x v="145"/>
    <x v="3"/>
    <x v="121"/>
    <x v="125"/>
    <x v="1"/>
    <x v="0"/>
    <x v="0"/>
    <x v="0"/>
    <x v="0"/>
  </r>
  <r>
    <x v="146"/>
    <x v="8"/>
    <x v="7"/>
    <x v="2"/>
    <x v="146"/>
    <x v="7"/>
    <x v="122"/>
    <x v="126"/>
    <x v="44"/>
    <x v="0"/>
    <x v="0"/>
    <x v="0"/>
    <x v="0"/>
  </r>
  <r>
    <x v="147"/>
    <x v="8"/>
    <x v="37"/>
    <x v="2"/>
    <x v="147"/>
    <x v="7"/>
    <x v="123"/>
    <x v="127"/>
    <x v="45"/>
    <x v="0"/>
    <x v="0"/>
    <x v="0"/>
    <x v="0"/>
  </r>
  <r>
    <x v="148"/>
    <x v="8"/>
    <x v="127"/>
    <x v="1"/>
    <x v="148"/>
    <x v="1"/>
    <x v="124"/>
    <x v="128"/>
    <x v="1"/>
    <x v="0"/>
    <x v="0"/>
    <x v="0"/>
    <x v="0"/>
  </r>
  <r>
    <x v="149"/>
    <x v="8"/>
    <x v="128"/>
    <x v="4"/>
    <x v="149"/>
    <x v="1"/>
    <x v="65"/>
    <x v="129"/>
    <x v="46"/>
    <x v="0"/>
    <x v="0"/>
    <x v="0"/>
    <x v="0"/>
  </r>
  <r>
    <x v="150"/>
    <x v="8"/>
    <x v="129"/>
    <x v="1"/>
    <x v="150"/>
    <x v="1"/>
    <x v="125"/>
    <x v="130"/>
    <x v="1"/>
    <x v="0"/>
    <x v="0"/>
    <x v="0"/>
    <x v="0"/>
  </r>
  <r>
    <x v="151"/>
    <x v="8"/>
    <x v="130"/>
    <x v="2"/>
    <x v="151"/>
    <x v="2"/>
    <x v="126"/>
    <x v="131"/>
    <x v="1"/>
    <x v="0"/>
    <x v="0"/>
    <x v="0"/>
    <x v="0"/>
  </r>
  <r>
    <x v="152"/>
    <x v="8"/>
    <x v="131"/>
    <x v="0"/>
    <x v="152"/>
    <x v="4"/>
    <x v="127"/>
    <x v="132"/>
    <x v="47"/>
    <x v="0"/>
    <x v="0"/>
    <x v="0"/>
    <x v="0"/>
  </r>
  <r>
    <x v="153"/>
    <x v="8"/>
    <x v="132"/>
    <x v="0"/>
    <x v="153"/>
    <x v="4"/>
    <x v="128"/>
    <x v="133"/>
    <x v="1"/>
    <x v="0"/>
    <x v="0"/>
    <x v="0"/>
    <x v="0"/>
  </r>
  <r>
    <x v="154"/>
    <x v="8"/>
    <x v="133"/>
    <x v="3"/>
    <x v="154"/>
    <x v="4"/>
    <x v="73"/>
    <x v="134"/>
    <x v="48"/>
    <x v="0"/>
    <x v="0"/>
    <x v="0"/>
    <x v="0"/>
  </r>
  <r>
    <x v="155"/>
    <x v="8"/>
    <x v="97"/>
    <x v="0"/>
    <x v="155"/>
    <x v="1"/>
    <x v="129"/>
    <x v="135"/>
    <x v="49"/>
    <x v="0"/>
    <x v="0"/>
    <x v="0"/>
    <x v="0"/>
  </r>
  <r>
    <x v="156"/>
    <x v="8"/>
    <x v="134"/>
    <x v="0"/>
    <x v="156"/>
    <x v="10"/>
    <x v="130"/>
    <x v="136"/>
    <x v="1"/>
    <x v="0"/>
    <x v="0"/>
    <x v="0"/>
    <x v="0"/>
  </r>
  <r>
    <x v="157"/>
    <x v="8"/>
    <x v="135"/>
    <x v="0"/>
    <x v="157"/>
    <x v="10"/>
    <x v="131"/>
    <x v="137"/>
    <x v="1"/>
    <x v="0"/>
    <x v="0"/>
    <x v="0"/>
    <x v="0"/>
  </r>
  <r>
    <x v="158"/>
    <x v="8"/>
    <x v="136"/>
    <x v="2"/>
    <x v="158"/>
    <x v="7"/>
    <x v="132"/>
    <x v="138"/>
    <x v="1"/>
    <x v="0"/>
    <x v="0"/>
    <x v="0"/>
    <x v="0"/>
  </r>
  <r>
    <x v="159"/>
    <x v="8"/>
    <x v="137"/>
    <x v="2"/>
    <x v="159"/>
    <x v="7"/>
    <x v="59"/>
    <x v="59"/>
    <x v="1"/>
    <x v="0"/>
    <x v="0"/>
    <x v="0"/>
    <x v="0"/>
  </r>
  <r>
    <x v="160"/>
    <x v="8"/>
    <x v="138"/>
    <x v="3"/>
    <x v="160"/>
    <x v="18"/>
    <x v="133"/>
    <x v="139"/>
    <x v="1"/>
    <x v="0"/>
    <x v="0"/>
    <x v="0"/>
    <x v="0"/>
  </r>
  <r>
    <x v="161"/>
    <x v="8"/>
    <x v="138"/>
    <x v="3"/>
    <x v="161"/>
    <x v="19"/>
    <x v="134"/>
    <x v="140"/>
    <x v="1"/>
    <x v="0"/>
    <x v="0"/>
    <x v="0"/>
    <x v="0"/>
  </r>
  <r>
    <x v="162"/>
    <x v="8"/>
    <x v="138"/>
    <x v="3"/>
    <x v="162"/>
    <x v="10"/>
    <x v="135"/>
    <x v="141"/>
    <x v="1"/>
    <x v="0"/>
    <x v="0"/>
    <x v="0"/>
    <x v="0"/>
  </r>
  <r>
    <x v="163"/>
    <x v="8"/>
    <x v="138"/>
    <x v="3"/>
    <x v="163"/>
    <x v="20"/>
    <x v="136"/>
    <x v="142"/>
    <x v="1"/>
    <x v="0"/>
    <x v="0"/>
    <x v="0"/>
    <x v="0"/>
  </r>
  <r>
    <x v="164"/>
    <x v="8"/>
    <x v="139"/>
    <x v="2"/>
    <x v="164"/>
    <x v="7"/>
    <x v="137"/>
    <x v="143"/>
    <x v="50"/>
    <x v="0"/>
    <x v="0"/>
    <x v="0"/>
    <x v="0"/>
  </r>
  <r>
    <x v="165"/>
    <x v="8"/>
    <x v="113"/>
    <x v="1"/>
    <x v="165"/>
    <x v="1"/>
    <x v="111"/>
    <x v="114"/>
    <x v="1"/>
    <x v="0"/>
    <x v="0"/>
    <x v="0"/>
    <x v="0"/>
  </r>
  <r>
    <x v="166"/>
    <x v="8"/>
    <x v="140"/>
    <x v="2"/>
    <x v="166"/>
    <x v="5"/>
    <x v="138"/>
    <x v="144"/>
    <x v="1"/>
    <x v="0"/>
    <x v="0"/>
    <x v="0"/>
    <x v="0"/>
  </r>
  <r>
    <x v="167"/>
    <x v="9"/>
    <x v="141"/>
    <x v="4"/>
    <x v="167"/>
    <x v="1"/>
    <x v="139"/>
    <x v="145"/>
    <x v="1"/>
    <x v="0"/>
    <x v="0"/>
    <x v="0"/>
    <x v="0"/>
  </r>
  <r>
    <x v="168"/>
    <x v="9"/>
    <x v="142"/>
    <x v="0"/>
    <x v="168"/>
    <x v="21"/>
    <x v="140"/>
    <x v="146"/>
    <x v="1"/>
    <x v="0"/>
    <x v="0"/>
    <x v="0"/>
    <x v="0"/>
  </r>
  <r>
    <x v="169"/>
    <x v="10"/>
    <x v="143"/>
    <x v="1"/>
    <x v="169"/>
    <x v="1"/>
    <x v="141"/>
    <x v="147"/>
    <x v="1"/>
    <x v="0"/>
    <x v="0"/>
    <x v="0"/>
    <x v="0"/>
  </r>
  <r>
    <x v="170"/>
    <x v="10"/>
    <x v="144"/>
    <x v="1"/>
    <x v="170"/>
    <x v="1"/>
    <x v="141"/>
    <x v="147"/>
    <x v="1"/>
    <x v="0"/>
    <x v="0"/>
    <x v="0"/>
    <x v="0"/>
  </r>
  <r>
    <x v="171"/>
    <x v="11"/>
    <x v="87"/>
    <x v="0"/>
    <x v="171"/>
    <x v="1"/>
    <x v="142"/>
    <x v="148"/>
    <x v="51"/>
    <x v="0"/>
    <x v="0"/>
    <x v="0"/>
    <x v="0"/>
  </r>
  <r>
    <x v="172"/>
    <x v="11"/>
    <x v="145"/>
    <x v="0"/>
    <x v="172"/>
    <x v="4"/>
    <x v="143"/>
    <x v="149"/>
    <x v="1"/>
    <x v="0"/>
    <x v="0"/>
    <x v="0"/>
    <x v="0"/>
  </r>
  <r>
    <x v="173"/>
    <x v="11"/>
    <x v="146"/>
    <x v="1"/>
    <x v="173"/>
    <x v="1"/>
    <x v="144"/>
    <x v="150"/>
    <x v="52"/>
    <x v="0"/>
    <x v="0"/>
    <x v="0"/>
    <x v="0"/>
  </r>
  <r>
    <x v="174"/>
    <x v="11"/>
    <x v="147"/>
    <x v="1"/>
    <x v="174"/>
    <x v="1"/>
    <x v="145"/>
    <x v="151"/>
    <x v="1"/>
    <x v="0"/>
    <x v="0"/>
    <x v="0"/>
    <x v="0"/>
  </r>
  <r>
    <x v="175"/>
    <x v="11"/>
    <x v="148"/>
    <x v="0"/>
    <x v="175"/>
    <x v="1"/>
    <x v="142"/>
    <x v="152"/>
    <x v="53"/>
    <x v="0"/>
    <x v="0"/>
    <x v="0"/>
    <x v="0"/>
  </r>
  <r>
    <x v="176"/>
    <x v="11"/>
    <x v="149"/>
    <x v="0"/>
    <x v="176"/>
    <x v="4"/>
    <x v="146"/>
    <x v="153"/>
    <x v="1"/>
    <x v="0"/>
    <x v="0"/>
    <x v="0"/>
    <x v="0"/>
  </r>
  <r>
    <x v="177"/>
    <x v="11"/>
    <x v="150"/>
    <x v="1"/>
    <x v="177"/>
    <x v="1"/>
    <x v="147"/>
    <x v="154"/>
    <x v="1"/>
    <x v="0"/>
    <x v="0"/>
    <x v="0"/>
    <x v="0"/>
  </r>
  <r>
    <x v="178"/>
    <x v="11"/>
    <x v="151"/>
    <x v="3"/>
    <x v="178"/>
    <x v="10"/>
    <x v="148"/>
    <x v="155"/>
    <x v="1"/>
    <x v="0"/>
    <x v="0"/>
    <x v="0"/>
    <x v="0"/>
  </r>
  <r>
    <x v="179"/>
    <x v="11"/>
    <x v="152"/>
    <x v="0"/>
    <x v="179"/>
    <x v="1"/>
    <x v="149"/>
    <x v="156"/>
    <x v="1"/>
    <x v="0"/>
    <x v="0"/>
    <x v="0"/>
    <x v="0"/>
  </r>
  <r>
    <x v="180"/>
    <x v="11"/>
    <x v="152"/>
    <x v="0"/>
    <x v="180"/>
    <x v="4"/>
    <x v="150"/>
    <x v="157"/>
    <x v="1"/>
    <x v="0"/>
    <x v="0"/>
    <x v="0"/>
    <x v="0"/>
  </r>
  <r>
    <x v="181"/>
    <x v="11"/>
    <x v="153"/>
    <x v="0"/>
    <x v="181"/>
    <x v="10"/>
    <x v="151"/>
    <x v="158"/>
    <x v="1"/>
    <x v="0"/>
    <x v="0"/>
    <x v="0"/>
    <x v="0"/>
  </r>
  <r>
    <x v="182"/>
    <x v="11"/>
    <x v="154"/>
    <x v="1"/>
    <x v="182"/>
    <x v="1"/>
    <x v="152"/>
    <x v="159"/>
    <x v="54"/>
    <x v="0"/>
    <x v="0"/>
    <x v="0"/>
    <x v="0"/>
  </r>
  <r>
    <x v="183"/>
    <x v="11"/>
    <x v="155"/>
    <x v="2"/>
    <x v="183"/>
    <x v="2"/>
    <x v="41"/>
    <x v="160"/>
    <x v="1"/>
    <x v="0"/>
    <x v="0"/>
    <x v="0"/>
    <x v="0"/>
  </r>
  <r>
    <x v="184"/>
    <x v="12"/>
    <x v="156"/>
    <x v="1"/>
    <x v="184"/>
    <x v="1"/>
    <x v="153"/>
    <x v="161"/>
    <x v="1"/>
    <x v="0"/>
    <x v="0"/>
    <x v="0"/>
    <x v="0"/>
  </r>
  <r>
    <x v="185"/>
    <x v="12"/>
    <x v="157"/>
    <x v="1"/>
    <x v="185"/>
    <x v="1"/>
    <x v="154"/>
    <x v="162"/>
    <x v="55"/>
    <x v="0"/>
    <x v="0"/>
    <x v="0"/>
    <x v="0"/>
  </r>
  <r>
    <x v="186"/>
    <x v="12"/>
    <x v="158"/>
    <x v="1"/>
    <x v="186"/>
    <x v="3"/>
    <x v="155"/>
    <x v="163"/>
    <x v="1"/>
    <x v="0"/>
    <x v="0"/>
    <x v="0"/>
    <x v="0"/>
  </r>
  <r>
    <x v="187"/>
    <x v="12"/>
    <x v="159"/>
    <x v="1"/>
    <x v="187"/>
    <x v="1"/>
    <x v="156"/>
    <x v="164"/>
    <x v="1"/>
    <x v="0"/>
    <x v="0"/>
    <x v="0"/>
    <x v="0"/>
  </r>
  <r>
    <x v="188"/>
    <x v="12"/>
    <x v="160"/>
    <x v="0"/>
    <x v="188"/>
    <x v="4"/>
    <x v="157"/>
    <x v="165"/>
    <x v="1"/>
    <x v="0"/>
    <x v="0"/>
    <x v="0"/>
    <x v="0"/>
  </r>
  <r>
    <x v="189"/>
    <x v="13"/>
    <x v="161"/>
    <x v="0"/>
    <x v="189"/>
    <x v="4"/>
    <x v="158"/>
    <x v="166"/>
    <x v="1"/>
    <x v="0"/>
    <x v="0"/>
    <x v="0"/>
    <x v="0"/>
  </r>
  <r>
    <x v="190"/>
    <x v="13"/>
    <x v="162"/>
    <x v="0"/>
    <x v="190"/>
    <x v="4"/>
    <x v="159"/>
    <x v="167"/>
    <x v="1"/>
    <x v="0"/>
    <x v="0"/>
    <x v="0"/>
    <x v="0"/>
  </r>
  <r>
    <x v="191"/>
    <x v="13"/>
    <x v="163"/>
    <x v="0"/>
    <x v="191"/>
    <x v="4"/>
    <x v="160"/>
    <x v="168"/>
    <x v="1"/>
    <x v="0"/>
    <x v="0"/>
    <x v="0"/>
    <x v="0"/>
  </r>
  <r>
    <x v="192"/>
    <x v="13"/>
    <x v="164"/>
    <x v="1"/>
    <x v="192"/>
    <x v="1"/>
    <x v="141"/>
    <x v="147"/>
    <x v="1"/>
    <x v="0"/>
    <x v="0"/>
    <x v="0"/>
    <x v="0"/>
  </r>
  <r>
    <x v="193"/>
    <x v="13"/>
    <x v="165"/>
    <x v="1"/>
    <x v="193"/>
    <x v="1"/>
    <x v="141"/>
    <x v="147"/>
    <x v="1"/>
    <x v="0"/>
    <x v="0"/>
    <x v="0"/>
    <x v="0"/>
  </r>
  <r>
    <x v="194"/>
    <x v="13"/>
    <x v="161"/>
    <x v="0"/>
    <x v="194"/>
    <x v="1"/>
    <x v="161"/>
    <x v="169"/>
    <x v="1"/>
    <x v="0"/>
    <x v="0"/>
    <x v="0"/>
    <x v="0"/>
  </r>
  <r>
    <x v="195"/>
    <x v="13"/>
    <x v="28"/>
    <x v="2"/>
    <x v="195"/>
    <x v="6"/>
    <x v="162"/>
    <x v="170"/>
    <x v="1"/>
    <x v="0"/>
    <x v="0"/>
    <x v="0"/>
    <x v="0"/>
  </r>
  <r>
    <x v="196"/>
    <x v="14"/>
    <x v="166"/>
    <x v="2"/>
    <x v="196"/>
    <x v="7"/>
    <x v="163"/>
    <x v="171"/>
    <x v="56"/>
    <x v="0"/>
    <x v="0"/>
    <x v="0"/>
    <x v="0"/>
  </r>
  <r>
    <x v="197"/>
    <x v="14"/>
    <x v="167"/>
    <x v="1"/>
    <x v="197"/>
    <x v="3"/>
    <x v="164"/>
    <x v="172"/>
    <x v="1"/>
    <x v="0"/>
    <x v="0"/>
    <x v="0"/>
    <x v="0"/>
  </r>
  <r>
    <x v="198"/>
    <x v="14"/>
    <x v="168"/>
    <x v="1"/>
    <x v="198"/>
    <x v="1"/>
    <x v="141"/>
    <x v="147"/>
    <x v="1"/>
    <x v="0"/>
    <x v="0"/>
    <x v="0"/>
    <x v="0"/>
  </r>
  <r>
    <x v="199"/>
    <x v="14"/>
    <x v="169"/>
    <x v="1"/>
    <x v="199"/>
    <x v="1"/>
    <x v="165"/>
    <x v="173"/>
    <x v="57"/>
    <x v="0"/>
    <x v="0"/>
    <x v="0"/>
    <x v="0"/>
  </r>
  <r>
    <x v="200"/>
    <x v="14"/>
    <x v="170"/>
    <x v="2"/>
    <x v="200"/>
    <x v="10"/>
    <x v="166"/>
    <x v="174"/>
    <x v="1"/>
    <x v="0"/>
    <x v="0"/>
    <x v="0"/>
    <x v="0"/>
  </r>
  <r>
    <x v="201"/>
    <x v="15"/>
    <x v="171"/>
    <x v="0"/>
    <x v="201"/>
    <x v="10"/>
    <x v="167"/>
    <x v="175"/>
    <x v="58"/>
    <x v="0"/>
    <x v="0"/>
    <x v="0"/>
    <x v="0"/>
  </r>
  <r>
    <x v="202"/>
    <x v="16"/>
    <x v="146"/>
    <x v="1"/>
    <x v="202"/>
    <x v="1"/>
    <x v="168"/>
    <x v="176"/>
    <x v="1"/>
    <x v="0"/>
    <x v="0"/>
    <x v="0"/>
    <x v="0"/>
  </r>
  <r>
    <x v="203"/>
    <x v="16"/>
    <x v="172"/>
    <x v="2"/>
    <x v="203"/>
    <x v="2"/>
    <x v="169"/>
    <x v="177"/>
    <x v="1"/>
    <x v="0"/>
    <x v="0"/>
    <x v="0"/>
    <x v="0"/>
  </r>
  <r>
    <x v="204"/>
    <x v="16"/>
    <x v="173"/>
    <x v="2"/>
    <x v="204"/>
    <x v="7"/>
    <x v="114"/>
    <x v="178"/>
    <x v="59"/>
    <x v="0"/>
    <x v="0"/>
    <x v="0"/>
    <x v="0"/>
  </r>
  <r>
    <x v="205"/>
    <x v="16"/>
    <x v="174"/>
    <x v="1"/>
    <x v="205"/>
    <x v="1"/>
    <x v="141"/>
    <x v="179"/>
    <x v="60"/>
    <x v="0"/>
    <x v="0"/>
    <x v="0"/>
    <x v="0"/>
  </r>
  <r>
    <x v="206"/>
    <x v="17"/>
    <x v="175"/>
    <x v="2"/>
    <x v="206"/>
    <x v="6"/>
    <x v="170"/>
    <x v="180"/>
    <x v="1"/>
    <x v="0"/>
    <x v="0"/>
    <x v="0"/>
    <x v="0"/>
  </r>
  <r>
    <x v="207"/>
    <x v="17"/>
    <x v="176"/>
    <x v="1"/>
    <x v="207"/>
    <x v="3"/>
    <x v="171"/>
    <x v="181"/>
    <x v="1"/>
    <x v="0"/>
    <x v="0"/>
    <x v="0"/>
    <x v="0"/>
  </r>
  <r>
    <x v="208"/>
    <x v="17"/>
    <x v="177"/>
    <x v="1"/>
    <x v="208"/>
    <x v="1"/>
    <x v="141"/>
    <x v="147"/>
    <x v="1"/>
    <x v="0"/>
    <x v="0"/>
    <x v="0"/>
    <x v="0"/>
  </r>
  <r>
    <x v="209"/>
    <x v="17"/>
    <x v="178"/>
    <x v="0"/>
    <x v="209"/>
    <x v="4"/>
    <x v="172"/>
    <x v="182"/>
    <x v="1"/>
    <x v="0"/>
    <x v="0"/>
    <x v="0"/>
    <x v="0"/>
  </r>
  <r>
    <x v="210"/>
    <x v="17"/>
    <x v="179"/>
    <x v="2"/>
    <x v="210"/>
    <x v="22"/>
    <x v="173"/>
    <x v="183"/>
    <x v="1"/>
    <x v="0"/>
    <x v="0"/>
    <x v="0"/>
    <x v="0"/>
  </r>
  <r>
    <x v="211"/>
    <x v="18"/>
    <x v="180"/>
    <x v="1"/>
    <x v="211"/>
    <x v="23"/>
    <x v="174"/>
    <x v="184"/>
    <x v="1"/>
    <x v="0"/>
    <x v="0"/>
    <x v="0"/>
    <x v="0"/>
  </r>
  <r>
    <x v="212"/>
    <x v="18"/>
    <x v="181"/>
    <x v="3"/>
    <x v="212"/>
    <x v="10"/>
    <x v="175"/>
    <x v="185"/>
    <x v="1"/>
    <x v="0"/>
    <x v="0"/>
    <x v="0"/>
    <x v="0"/>
  </r>
  <r>
    <x v="213"/>
    <x v="18"/>
    <x v="173"/>
    <x v="2"/>
    <x v="213"/>
    <x v="7"/>
    <x v="176"/>
    <x v="186"/>
    <x v="61"/>
    <x v="0"/>
    <x v="0"/>
    <x v="0"/>
    <x v="0"/>
  </r>
</pivotCacheRecords>
</file>

<file path=xl/pivotCache/pivotCacheRecords4.xml><?xml version="1.0" encoding="utf-8"?>
<pivotCacheRecords xmlns:r="http://schemas.openxmlformats.org/officeDocument/2006/relationships" xmlns="http://schemas.openxmlformats.org/spreadsheetml/2006/main" count="116">
  <r>
    <x v="0"/>
    <x v="0"/>
    <x v="0"/>
    <x v="0"/>
    <x v="0"/>
    <x v="0"/>
    <x v="0"/>
    <x v="0"/>
    <x v="0"/>
    <x v="0"/>
    <x v="0"/>
  </r>
  <r>
    <x v="1"/>
    <x v="1"/>
    <x v="1"/>
    <x v="1"/>
    <x v="0"/>
    <x v="1"/>
    <x v="1"/>
    <x v="1"/>
    <x v="0"/>
    <x v="0"/>
    <x v="0"/>
  </r>
  <r>
    <x v="2"/>
    <x v="2"/>
    <x v="2"/>
    <x v="2"/>
    <x v="0"/>
    <x v="2"/>
    <x v="2"/>
    <x v="2"/>
    <x v="1"/>
    <x v="0"/>
    <x v="0"/>
  </r>
  <r>
    <x v="3"/>
    <x v="3"/>
    <x v="3"/>
    <x v="2"/>
    <x v="0"/>
    <x v="2"/>
    <x v="3"/>
    <x v="3"/>
    <x v="1"/>
    <x v="0"/>
    <x v="0"/>
  </r>
  <r>
    <x v="4"/>
    <x v="4"/>
    <x v="4"/>
    <x v="3"/>
    <x v="0"/>
    <x v="3"/>
    <x v="4"/>
    <x v="4"/>
    <x v="0"/>
    <x v="0"/>
    <x v="0"/>
  </r>
  <r>
    <x v="5"/>
    <x v="5"/>
    <x v="5"/>
    <x v="4"/>
    <x v="0"/>
    <x v="4"/>
    <x v="5"/>
    <x v="5"/>
    <x v="1"/>
    <x v="0"/>
    <x v="0"/>
  </r>
  <r>
    <x v="6"/>
    <x v="6"/>
    <x v="6"/>
    <x v="5"/>
    <x v="0"/>
    <x v="5"/>
    <x v="6"/>
    <x v="6"/>
    <x v="0"/>
    <x v="0"/>
    <x v="0"/>
  </r>
  <r>
    <x v="7"/>
    <x v="7"/>
    <x v="7"/>
    <x v="6"/>
    <x v="0"/>
    <x v="6"/>
    <x v="7"/>
    <x v="7"/>
    <x v="0"/>
    <x v="0"/>
    <x v="0"/>
  </r>
  <r>
    <x v="8"/>
    <x v="8"/>
    <x v="8"/>
    <x v="1"/>
    <x v="0"/>
    <x v="6"/>
    <x v="7"/>
    <x v="7"/>
    <x v="0"/>
    <x v="0"/>
    <x v="0"/>
  </r>
  <r>
    <x v="9"/>
    <x v="9"/>
    <x v="9"/>
    <x v="7"/>
    <x v="0"/>
    <x v="3"/>
    <x v="8"/>
    <x v="8"/>
    <x v="0"/>
    <x v="0"/>
    <x v="0"/>
  </r>
  <r>
    <x v="10"/>
    <x v="10"/>
    <x v="10"/>
    <x v="8"/>
    <x v="0"/>
    <x v="7"/>
    <x v="9"/>
    <x v="9"/>
    <x v="0"/>
    <x v="0"/>
    <x v="0"/>
  </r>
  <r>
    <x v="11"/>
    <x v="11"/>
    <x v="11"/>
    <x v="9"/>
    <x v="0"/>
    <x v="8"/>
    <x v="10"/>
    <x v="10"/>
    <x v="0"/>
    <x v="0"/>
    <x v="0"/>
  </r>
  <r>
    <x v="12"/>
    <x v="12"/>
    <x v="12"/>
    <x v="10"/>
    <x v="0"/>
    <x v="9"/>
    <x v="11"/>
    <x v="11"/>
    <x v="1"/>
    <x v="0"/>
    <x v="0"/>
  </r>
  <r>
    <x v="13"/>
    <x v="13"/>
    <x v="13"/>
    <x v="11"/>
    <x v="0"/>
    <x v="10"/>
    <x v="12"/>
    <x v="12"/>
    <x v="0"/>
    <x v="0"/>
    <x v="0"/>
  </r>
  <r>
    <x v="14"/>
    <x v="14"/>
    <x v="14"/>
    <x v="12"/>
    <x v="0"/>
    <x v="11"/>
    <x v="13"/>
    <x v="13"/>
    <x v="0"/>
    <x v="0"/>
    <x v="0"/>
  </r>
  <r>
    <x v="15"/>
    <x v="15"/>
    <x v="2"/>
    <x v="13"/>
    <x v="0"/>
    <x v="3"/>
    <x v="14"/>
    <x v="14"/>
    <x v="0"/>
    <x v="0"/>
    <x v="0"/>
  </r>
  <r>
    <x v="16"/>
    <x v="16"/>
    <x v="15"/>
    <x v="14"/>
    <x v="0"/>
    <x v="3"/>
    <x v="8"/>
    <x v="8"/>
    <x v="0"/>
    <x v="0"/>
    <x v="0"/>
  </r>
  <r>
    <x v="17"/>
    <x v="17"/>
    <x v="16"/>
    <x v="15"/>
    <x v="0"/>
    <x v="12"/>
    <x v="15"/>
    <x v="15"/>
    <x v="0"/>
    <x v="0"/>
    <x v="0"/>
  </r>
  <r>
    <x v="18"/>
    <x v="18"/>
    <x v="17"/>
    <x v="16"/>
    <x v="0"/>
    <x v="13"/>
    <x v="16"/>
    <x v="16"/>
    <x v="0"/>
    <x v="0"/>
    <x v="0"/>
  </r>
  <r>
    <x v="19"/>
    <x v="19"/>
    <x v="18"/>
    <x v="14"/>
    <x v="0"/>
    <x v="3"/>
    <x v="8"/>
    <x v="8"/>
    <x v="0"/>
    <x v="0"/>
    <x v="0"/>
  </r>
  <r>
    <x v="20"/>
    <x v="20"/>
    <x v="19"/>
    <x v="17"/>
    <x v="0"/>
    <x v="14"/>
    <x v="17"/>
    <x v="17"/>
    <x v="1"/>
    <x v="0"/>
    <x v="0"/>
  </r>
  <r>
    <x v="21"/>
    <x v="21"/>
    <x v="20"/>
    <x v="18"/>
    <x v="0"/>
    <x v="15"/>
    <x v="18"/>
    <x v="18"/>
    <x v="0"/>
    <x v="0"/>
    <x v="0"/>
  </r>
  <r>
    <x v="22"/>
    <x v="22"/>
    <x v="21"/>
    <x v="19"/>
    <x v="0"/>
    <x v="3"/>
    <x v="19"/>
    <x v="19"/>
    <x v="0"/>
    <x v="0"/>
    <x v="0"/>
  </r>
  <r>
    <x v="23"/>
    <x v="23"/>
    <x v="22"/>
    <x v="20"/>
    <x v="0"/>
    <x v="16"/>
    <x v="20"/>
    <x v="20"/>
    <x v="0"/>
    <x v="0"/>
    <x v="0"/>
  </r>
  <r>
    <x v="24"/>
    <x v="24"/>
    <x v="23"/>
    <x v="21"/>
    <x v="0"/>
    <x v="17"/>
    <x v="21"/>
    <x v="21"/>
    <x v="0"/>
    <x v="0"/>
    <x v="0"/>
  </r>
  <r>
    <x v="25"/>
    <x v="25"/>
    <x v="24"/>
    <x v="22"/>
    <x v="0"/>
    <x v="6"/>
    <x v="22"/>
    <x v="22"/>
    <x v="1"/>
    <x v="0"/>
    <x v="0"/>
  </r>
  <r>
    <x v="26"/>
    <x v="26"/>
    <x v="25"/>
    <x v="23"/>
    <x v="0"/>
    <x v="18"/>
    <x v="23"/>
    <x v="23"/>
    <x v="0"/>
    <x v="0"/>
    <x v="0"/>
  </r>
  <r>
    <x v="27"/>
    <x v="27"/>
    <x v="26"/>
    <x v="6"/>
    <x v="0"/>
    <x v="6"/>
    <x v="7"/>
    <x v="7"/>
    <x v="0"/>
    <x v="0"/>
    <x v="0"/>
  </r>
  <r>
    <x v="28"/>
    <x v="28"/>
    <x v="27"/>
    <x v="2"/>
    <x v="0"/>
    <x v="19"/>
    <x v="24"/>
    <x v="24"/>
    <x v="2"/>
    <x v="0"/>
    <x v="0"/>
  </r>
  <r>
    <x v="29"/>
    <x v="29"/>
    <x v="28"/>
    <x v="24"/>
    <x v="0"/>
    <x v="20"/>
    <x v="25"/>
    <x v="25"/>
    <x v="0"/>
    <x v="0"/>
    <x v="0"/>
  </r>
  <r>
    <x v="30"/>
    <x v="30"/>
    <x v="29"/>
    <x v="25"/>
    <x v="0"/>
    <x v="21"/>
    <x v="26"/>
    <x v="26"/>
    <x v="1"/>
    <x v="0"/>
    <x v="0"/>
  </r>
  <r>
    <x v="31"/>
    <x v="31"/>
    <x v="30"/>
    <x v="26"/>
    <x v="0"/>
    <x v="22"/>
    <x v="27"/>
    <x v="27"/>
    <x v="1"/>
    <x v="0"/>
    <x v="0"/>
  </r>
  <r>
    <x v="32"/>
    <x v="32"/>
    <x v="31"/>
    <x v="27"/>
    <x v="0"/>
    <x v="23"/>
    <x v="28"/>
    <x v="28"/>
    <x v="2"/>
    <x v="0"/>
    <x v="0"/>
  </r>
  <r>
    <x v="33"/>
    <x v="33"/>
    <x v="31"/>
    <x v="2"/>
    <x v="0"/>
    <x v="23"/>
    <x v="28"/>
    <x v="28"/>
    <x v="2"/>
    <x v="0"/>
    <x v="0"/>
  </r>
  <r>
    <x v="34"/>
    <x v="34"/>
    <x v="32"/>
    <x v="28"/>
    <x v="0"/>
    <x v="24"/>
    <x v="29"/>
    <x v="29"/>
    <x v="0"/>
    <x v="0"/>
    <x v="0"/>
  </r>
  <r>
    <x v="35"/>
    <x v="35"/>
    <x v="33"/>
    <x v="29"/>
    <x v="0"/>
    <x v="18"/>
    <x v="30"/>
    <x v="30"/>
    <x v="0"/>
    <x v="0"/>
    <x v="0"/>
  </r>
  <r>
    <x v="36"/>
    <x v="36"/>
    <x v="34"/>
    <x v="30"/>
    <x v="0"/>
    <x v="25"/>
    <x v="31"/>
    <x v="31"/>
    <x v="1"/>
    <x v="0"/>
    <x v="0"/>
  </r>
  <r>
    <x v="37"/>
    <x v="37"/>
    <x v="35"/>
    <x v="31"/>
    <x v="0"/>
    <x v="19"/>
    <x v="32"/>
    <x v="32"/>
    <x v="0"/>
    <x v="0"/>
    <x v="0"/>
  </r>
  <r>
    <x v="38"/>
    <x v="38"/>
    <x v="36"/>
    <x v="31"/>
    <x v="0"/>
    <x v="19"/>
    <x v="33"/>
    <x v="33"/>
    <x v="0"/>
    <x v="0"/>
    <x v="0"/>
  </r>
  <r>
    <x v="39"/>
    <x v="39"/>
    <x v="37"/>
    <x v="32"/>
    <x v="0"/>
    <x v="6"/>
    <x v="34"/>
    <x v="34"/>
    <x v="0"/>
    <x v="0"/>
    <x v="0"/>
  </r>
  <r>
    <x v="40"/>
    <x v="40"/>
    <x v="38"/>
    <x v="14"/>
    <x v="0"/>
    <x v="3"/>
    <x v="35"/>
    <x v="35"/>
    <x v="0"/>
    <x v="0"/>
    <x v="0"/>
  </r>
  <r>
    <x v="41"/>
    <x v="41"/>
    <x v="39"/>
    <x v="33"/>
    <x v="0"/>
    <x v="26"/>
    <x v="36"/>
    <x v="36"/>
    <x v="0"/>
    <x v="0"/>
    <x v="0"/>
  </r>
  <r>
    <x v="42"/>
    <x v="42"/>
    <x v="40"/>
    <x v="34"/>
    <x v="0"/>
    <x v="27"/>
    <x v="37"/>
    <x v="37"/>
    <x v="0"/>
    <x v="0"/>
    <x v="0"/>
  </r>
  <r>
    <x v="43"/>
    <x v="43"/>
    <x v="41"/>
    <x v="35"/>
    <x v="0"/>
    <x v="28"/>
    <x v="38"/>
    <x v="38"/>
    <x v="0"/>
    <x v="0"/>
    <x v="0"/>
  </r>
  <r>
    <x v="44"/>
    <x v="44"/>
    <x v="42"/>
    <x v="6"/>
    <x v="0"/>
    <x v="4"/>
    <x v="39"/>
    <x v="39"/>
    <x v="0"/>
    <x v="0"/>
    <x v="0"/>
  </r>
  <r>
    <x v="45"/>
    <x v="45"/>
    <x v="43"/>
    <x v="36"/>
    <x v="0"/>
    <x v="6"/>
    <x v="40"/>
    <x v="40"/>
    <x v="2"/>
    <x v="0"/>
    <x v="0"/>
  </r>
  <r>
    <x v="46"/>
    <x v="46"/>
    <x v="44"/>
    <x v="37"/>
    <x v="0"/>
    <x v="29"/>
    <x v="41"/>
    <x v="41"/>
    <x v="0"/>
    <x v="0"/>
    <x v="0"/>
  </r>
  <r>
    <x v="47"/>
    <x v="47"/>
    <x v="45"/>
    <x v="38"/>
    <x v="0"/>
    <x v="30"/>
    <x v="42"/>
    <x v="42"/>
    <x v="0"/>
    <x v="0"/>
    <x v="0"/>
  </r>
  <r>
    <x v="48"/>
    <x v="48"/>
    <x v="46"/>
    <x v="38"/>
    <x v="0"/>
    <x v="3"/>
    <x v="43"/>
    <x v="43"/>
    <x v="0"/>
    <x v="0"/>
    <x v="0"/>
  </r>
  <r>
    <x v="49"/>
    <x v="49"/>
    <x v="47"/>
    <x v="11"/>
    <x v="0"/>
    <x v="18"/>
    <x v="44"/>
    <x v="44"/>
    <x v="0"/>
    <x v="0"/>
    <x v="0"/>
  </r>
  <r>
    <x v="50"/>
    <x v="50"/>
    <x v="47"/>
    <x v="11"/>
    <x v="0"/>
    <x v="18"/>
    <x v="44"/>
    <x v="44"/>
    <x v="0"/>
    <x v="0"/>
    <x v="0"/>
  </r>
  <r>
    <x v="51"/>
    <x v="51"/>
    <x v="48"/>
    <x v="39"/>
    <x v="0"/>
    <x v="4"/>
    <x v="45"/>
    <x v="45"/>
    <x v="0"/>
    <x v="0"/>
    <x v="0"/>
  </r>
  <r>
    <x v="52"/>
    <x v="52"/>
    <x v="49"/>
    <x v="12"/>
    <x v="0"/>
    <x v="31"/>
    <x v="46"/>
    <x v="46"/>
    <x v="0"/>
    <x v="0"/>
    <x v="0"/>
  </r>
  <r>
    <x v="53"/>
    <x v="53"/>
    <x v="50"/>
    <x v="40"/>
    <x v="0"/>
    <x v="3"/>
    <x v="8"/>
    <x v="8"/>
    <x v="0"/>
    <x v="0"/>
    <x v="0"/>
  </r>
  <r>
    <x v="54"/>
    <x v="54"/>
    <x v="51"/>
    <x v="41"/>
    <x v="0"/>
    <x v="2"/>
    <x v="47"/>
    <x v="47"/>
    <x v="1"/>
    <x v="0"/>
    <x v="0"/>
  </r>
  <r>
    <x v="55"/>
    <x v="55"/>
    <x v="52"/>
    <x v="40"/>
    <x v="0"/>
    <x v="32"/>
    <x v="48"/>
    <x v="48"/>
    <x v="0"/>
    <x v="0"/>
    <x v="0"/>
  </r>
  <r>
    <x v="56"/>
    <x v="56"/>
    <x v="53"/>
    <x v="2"/>
    <x v="0"/>
    <x v="33"/>
    <x v="49"/>
    <x v="49"/>
    <x v="0"/>
    <x v="0"/>
    <x v="0"/>
  </r>
  <r>
    <x v="57"/>
    <x v="57"/>
    <x v="19"/>
    <x v="22"/>
    <x v="0"/>
    <x v="4"/>
    <x v="5"/>
    <x v="5"/>
    <x v="1"/>
    <x v="0"/>
    <x v="0"/>
  </r>
  <r>
    <x v="58"/>
    <x v="58"/>
    <x v="54"/>
    <x v="42"/>
    <x v="0"/>
    <x v="30"/>
    <x v="50"/>
    <x v="50"/>
    <x v="1"/>
    <x v="0"/>
    <x v="0"/>
  </r>
  <r>
    <x v="59"/>
    <x v="59"/>
    <x v="55"/>
    <x v="43"/>
    <x v="0"/>
    <x v="34"/>
    <x v="51"/>
    <x v="51"/>
    <x v="0"/>
    <x v="0"/>
    <x v="0"/>
  </r>
  <r>
    <x v="60"/>
    <x v="60"/>
    <x v="56"/>
    <x v="44"/>
    <x v="0"/>
    <x v="4"/>
    <x v="5"/>
    <x v="5"/>
    <x v="1"/>
    <x v="0"/>
    <x v="0"/>
  </r>
  <r>
    <x v="61"/>
    <x v="61"/>
    <x v="57"/>
    <x v="45"/>
    <x v="0"/>
    <x v="35"/>
    <x v="52"/>
    <x v="52"/>
    <x v="1"/>
    <x v="0"/>
    <x v="0"/>
  </r>
  <r>
    <x v="62"/>
    <x v="62"/>
    <x v="58"/>
    <x v="46"/>
    <x v="0"/>
    <x v="30"/>
    <x v="50"/>
    <x v="50"/>
    <x v="1"/>
    <x v="0"/>
    <x v="0"/>
  </r>
  <r>
    <x v="63"/>
    <x v="63"/>
    <x v="59"/>
    <x v="47"/>
    <x v="0"/>
    <x v="36"/>
    <x v="53"/>
    <x v="53"/>
    <x v="0"/>
    <x v="0"/>
    <x v="0"/>
  </r>
  <r>
    <x v="64"/>
    <x v="64"/>
    <x v="60"/>
    <x v="48"/>
    <x v="0"/>
    <x v="27"/>
    <x v="54"/>
    <x v="54"/>
    <x v="0"/>
    <x v="0"/>
    <x v="0"/>
  </r>
  <r>
    <x v="65"/>
    <x v="65"/>
    <x v="61"/>
    <x v="3"/>
    <x v="0"/>
    <x v="37"/>
    <x v="55"/>
    <x v="55"/>
    <x v="0"/>
    <x v="0"/>
    <x v="0"/>
  </r>
  <r>
    <x v="66"/>
    <x v="66"/>
    <x v="62"/>
    <x v="45"/>
    <x v="0"/>
    <x v="38"/>
    <x v="56"/>
    <x v="56"/>
    <x v="0"/>
    <x v="0"/>
    <x v="0"/>
  </r>
  <r>
    <x v="67"/>
    <x v="67"/>
    <x v="63"/>
    <x v="26"/>
    <x v="1"/>
    <x v="39"/>
    <x v="57"/>
    <x v="57"/>
    <x v="0"/>
    <x v="0"/>
    <x v="0"/>
  </r>
  <r>
    <x v="68"/>
    <x v="68"/>
    <x v="64"/>
    <x v="49"/>
    <x v="1"/>
    <x v="40"/>
    <x v="58"/>
    <x v="58"/>
    <x v="0"/>
    <x v="0"/>
    <x v="0"/>
  </r>
  <r>
    <x v="69"/>
    <x v="69"/>
    <x v="6"/>
    <x v="11"/>
    <x v="1"/>
    <x v="41"/>
    <x v="59"/>
    <x v="59"/>
    <x v="0"/>
    <x v="0"/>
    <x v="0"/>
  </r>
  <r>
    <x v="70"/>
    <x v="70"/>
    <x v="65"/>
    <x v="50"/>
    <x v="1"/>
    <x v="42"/>
    <x v="60"/>
    <x v="60"/>
    <x v="1"/>
    <x v="0"/>
    <x v="0"/>
  </r>
  <r>
    <x v="71"/>
    <x v="71"/>
    <x v="66"/>
    <x v="30"/>
    <x v="1"/>
    <x v="43"/>
    <x v="61"/>
    <x v="61"/>
    <x v="0"/>
    <x v="0"/>
    <x v="0"/>
  </r>
  <r>
    <x v="72"/>
    <x v="72"/>
    <x v="67"/>
    <x v="17"/>
    <x v="1"/>
    <x v="44"/>
    <x v="62"/>
    <x v="62"/>
    <x v="1"/>
    <x v="0"/>
    <x v="0"/>
  </r>
  <r>
    <x v="73"/>
    <x v="73"/>
    <x v="68"/>
    <x v="2"/>
    <x v="1"/>
    <x v="45"/>
    <x v="63"/>
    <x v="63"/>
    <x v="0"/>
    <x v="0"/>
    <x v="0"/>
  </r>
  <r>
    <x v="74"/>
    <x v="74"/>
    <x v="69"/>
    <x v="40"/>
    <x v="1"/>
    <x v="46"/>
    <x v="64"/>
    <x v="64"/>
    <x v="0"/>
    <x v="0"/>
    <x v="0"/>
  </r>
  <r>
    <x v="75"/>
    <x v="75"/>
    <x v="70"/>
    <x v="48"/>
    <x v="0"/>
    <x v="27"/>
    <x v="54"/>
    <x v="54"/>
    <x v="0"/>
    <x v="0"/>
    <x v="0"/>
  </r>
  <r>
    <x v="76"/>
    <x v="76"/>
    <x v="71"/>
    <x v="8"/>
    <x v="1"/>
    <x v="47"/>
    <x v="65"/>
    <x v="65"/>
    <x v="0"/>
    <x v="0"/>
    <x v="0"/>
  </r>
  <r>
    <x v="77"/>
    <x v="77"/>
    <x v="72"/>
    <x v="5"/>
    <x v="1"/>
    <x v="48"/>
    <x v="66"/>
    <x v="66"/>
    <x v="0"/>
    <x v="0"/>
    <x v="0"/>
  </r>
  <r>
    <x v="78"/>
    <x v="78"/>
    <x v="73"/>
    <x v="5"/>
    <x v="1"/>
    <x v="48"/>
    <x v="66"/>
    <x v="66"/>
    <x v="0"/>
    <x v="0"/>
    <x v="0"/>
  </r>
  <r>
    <x v="79"/>
    <x v="79"/>
    <x v="74"/>
    <x v="26"/>
    <x v="1"/>
    <x v="49"/>
    <x v="67"/>
    <x v="67"/>
    <x v="0"/>
    <x v="0"/>
    <x v="0"/>
  </r>
  <r>
    <x v="80"/>
    <x v="80"/>
    <x v="75"/>
    <x v="51"/>
    <x v="2"/>
    <x v="50"/>
    <x v="68"/>
    <x v="68"/>
    <x v="1"/>
    <x v="0"/>
    <x v="0"/>
  </r>
  <r>
    <x v="81"/>
    <x v="81"/>
    <x v="73"/>
    <x v="52"/>
    <x v="2"/>
    <x v="51"/>
    <x v="69"/>
    <x v="69"/>
    <x v="0"/>
    <x v="0"/>
    <x v="0"/>
  </r>
  <r>
    <x v="82"/>
    <x v="82"/>
    <x v="76"/>
    <x v="40"/>
    <x v="2"/>
    <x v="52"/>
    <x v="70"/>
    <x v="70"/>
    <x v="0"/>
    <x v="0"/>
    <x v="0"/>
  </r>
  <r>
    <x v="83"/>
    <x v="83"/>
    <x v="77"/>
    <x v="53"/>
    <x v="0"/>
    <x v="53"/>
    <x v="71"/>
    <x v="71"/>
    <x v="0"/>
    <x v="0"/>
    <x v="0"/>
  </r>
  <r>
    <x v="84"/>
    <x v="84"/>
    <x v="78"/>
    <x v="54"/>
    <x v="0"/>
    <x v="18"/>
    <x v="44"/>
    <x v="44"/>
    <x v="0"/>
    <x v="0"/>
    <x v="0"/>
  </r>
  <r>
    <x v="85"/>
    <x v="85"/>
    <x v="79"/>
    <x v="55"/>
    <x v="0"/>
    <x v="54"/>
    <x v="72"/>
    <x v="72"/>
    <x v="2"/>
    <x v="0"/>
    <x v="0"/>
  </r>
  <r>
    <x v="86"/>
    <x v="86"/>
    <x v="80"/>
    <x v="30"/>
    <x v="0"/>
    <x v="55"/>
    <x v="73"/>
    <x v="73"/>
    <x v="0"/>
    <x v="0"/>
    <x v="0"/>
  </r>
  <r>
    <x v="87"/>
    <x v="87"/>
    <x v="81"/>
    <x v="56"/>
    <x v="0"/>
    <x v="56"/>
    <x v="74"/>
    <x v="74"/>
    <x v="1"/>
    <x v="0"/>
    <x v="0"/>
  </r>
  <r>
    <x v="88"/>
    <x v="88"/>
    <x v="82"/>
    <x v="57"/>
    <x v="0"/>
    <x v="57"/>
    <x v="75"/>
    <x v="75"/>
    <x v="0"/>
    <x v="0"/>
    <x v="0"/>
  </r>
  <r>
    <x v="89"/>
    <x v="89"/>
    <x v="83"/>
    <x v="52"/>
    <x v="0"/>
    <x v="6"/>
    <x v="76"/>
    <x v="76"/>
    <x v="0"/>
    <x v="0"/>
    <x v="0"/>
  </r>
  <r>
    <x v="90"/>
    <x v="90"/>
    <x v="84"/>
    <x v="54"/>
    <x v="0"/>
    <x v="4"/>
    <x v="5"/>
    <x v="5"/>
    <x v="0"/>
    <x v="0"/>
    <x v="0"/>
  </r>
  <r>
    <x v="91"/>
    <x v="91"/>
    <x v="85"/>
    <x v="58"/>
    <x v="0"/>
    <x v="58"/>
    <x v="77"/>
    <x v="77"/>
    <x v="0"/>
    <x v="0"/>
    <x v="0"/>
  </r>
  <r>
    <x v="92"/>
    <x v="92"/>
    <x v="86"/>
    <x v="59"/>
    <x v="0"/>
    <x v="59"/>
    <x v="78"/>
    <x v="78"/>
    <x v="0"/>
    <x v="0"/>
    <x v="0"/>
  </r>
  <r>
    <x v="93"/>
    <x v="93"/>
    <x v="87"/>
    <x v="60"/>
    <x v="0"/>
    <x v="60"/>
    <x v="79"/>
    <x v="79"/>
    <x v="0"/>
    <x v="0"/>
    <x v="0"/>
  </r>
  <r>
    <x v="94"/>
    <x v="94"/>
    <x v="88"/>
    <x v="61"/>
    <x v="0"/>
    <x v="61"/>
    <x v="80"/>
    <x v="80"/>
    <x v="0"/>
    <x v="0"/>
    <x v="0"/>
  </r>
  <r>
    <x v="95"/>
    <x v="95"/>
    <x v="89"/>
    <x v="62"/>
    <x v="0"/>
    <x v="62"/>
    <x v="36"/>
    <x v="81"/>
    <x v="0"/>
    <x v="0"/>
    <x v="0"/>
  </r>
  <r>
    <x v="96"/>
    <x v="96"/>
    <x v="90"/>
    <x v="52"/>
    <x v="0"/>
    <x v="63"/>
    <x v="81"/>
    <x v="82"/>
    <x v="0"/>
    <x v="0"/>
    <x v="0"/>
  </r>
  <r>
    <x v="97"/>
    <x v="97"/>
    <x v="91"/>
    <x v="63"/>
    <x v="0"/>
    <x v="18"/>
    <x v="82"/>
    <x v="83"/>
    <x v="0"/>
    <x v="0"/>
    <x v="0"/>
  </r>
  <r>
    <x v="98"/>
    <x v="98"/>
    <x v="92"/>
    <x v="1"/>
    <x v="0"/>
    <x v="64"/>
    <x v="83"/>
    <x v="84"/>
    <x v="0"/>
    <x v="0"/>
    <x v="0"/>
  </r>
  <r>
    <x v="99"/>
    <x v="99"/>
    <x v="93"/>
    <x v="63"/>
    <x v="0"/>
    <x v="18"/>
    <x v="82"/>
    <x v="83"/>
    <x v="0"/>
    <x v="0"/>
    <x v="0"/>
  </r>
  <r>
    <x v="100"/>
    <x v="100"/>
    <x v="94"/>
    <x v="64"/>
    <x v="0"/>
    <x v="65"/>
    <x v="84"/>
    <x v="85"/>
    <x v="0"/>
    <x v="0"/>
    <x v="0"/>
  </r>
  <r>
    <x v="101"/>
    <x v="101"/>
    <x v="94"/>
    <x v="49"/>
    <x v="0"/>
    <x v="65"/>
    <x v="85"/>
    <x v="86"/>
    <x v="0"/>
    <x v="0"/>
    <x v="0"/>
  </r>
  <r>
    <x v="102"/>
    <x v="102"/>
    <x v="95"/>
    <x v="65"/>
    <x v="0"/>
    <x v="66"/>
    <x v="86"/>
    <x v="87"/>
    <x v="0"/>
    <x v="0"/>
    <x v="0"/>
  </r>
  <r>
    <x v="103"/>
    <x v="103"/>
    <x v="96"/>
    <x v="66"/>
    <x v="0"/>
    <x v="67"/>
    <x v="87"/>
    <x v="88"/>
    <x v="0"/>
    <x v="0"/>
    <x v="0"/>
  </r>
  <r>
    <x v="104"/>
    <x v="104"/>
    <x v="97"/>
    <x v="10"/>
    <x v="0"/>
    <x v="68"/>
    <x v="88"/>
    <x v="89"/>
    <x v="0"/>
    <x v="0"/>
    <x v="0"/>
  </r>
  <r>
    <x v="105"/>
    <x v="105"/>
    <x v="98"/>
    <x v="67"/>
    <x v="0"/>
    <x v="69"/>
    <x v="89"/>
    <x v="90"/>
    <x v="0"/>
    <x v="0"/>
    <x v="0"/>
  </r>
  <r>
    <x v="106"/>
    <x v="106"/>
    <x v="99"/>
    <x v="12"/>
    <x v="0"/>
    <x v="70"/>
    <x v="90"/>
    <x v="91"/>
    <x v="0"/>
    <x v="0"/>
    <x v="0"/>
  </r>
  <r>
    <x v="107"/>
    <x v="107"/>
    <x v="100"/>
    <x v="34"/>
    <x v="0"/>
    <x v="61"/>
    <x v="91"/>
    <x v="92"/>
    <x v="0"/>
    <x v="0"/>
    <x v="0"/>
  </r>
  <r>
    <x v="108"/>
    <x v="108"/>
    <x v="100"/>
    <x v="12"/>
    <x v="0"/>
    <x v="61"/>
    <x v="91"/>
    <x v="92"/>
    <x v="0"/>
    <x v="0"/>
    <x v="0"/>
  </r>
  <r>
    <x v="109"/>
    <x v="109"/>
    <x v="101"/>
    <x v="23"/>
    <x v="0"/>
    <x v="6"/>
    <x v="92"/>
    <x v="93"/>
    <x v="0"/>
    <x v="0"/>
    <x v="0"/>
  </r>
  <r>
    <x v="110"/>
    <x v="110"/>
    <x v="102"/>
    <x v="12"/>
    <x v="0"/>
    <x v="19"/>
    <x v="93"/>
    <x v="94"/>
    <x v="0"/>
    <x v="0"/>
    <x v="0"/>
  </r>
  <r>
    <x v="111"/>
    <x v="111"/>
    <x v="103"/>
    <x v="12"/>
    <x v="0"/>
    <x v="19"/>
    <x v="93"/>
    <x v="94"/>
    <x v="0"/>
    <x v="0"/>
    <x v="0"/>
  </r>
  <r>
    <x v="112"/>
    <x v="112"/>
    <x v="104"/>
    <x v="44"/>
    <x v="0"/>
    <x v="6"/>
    <x v="34"/>
    <x v="34"/>
    <x v="0"/>
    <x v="0"/>
    <x v="0"/>
  </r>
  <r>
    <x v="113"/>
    <x v="113"/>
    <x v="105"/>
    <x v="24"/>
    <x v="0"/>
    <x v="71"/>
    <x v="94"/>
    <x v="95"/>
    <x v="2"/>
    <x v="0"/>
    <x v="0"/>
  </r>
  <r>
    <x v="114"/>
    <x v="114"/>
    <x v="106"/>
    <x v="27"/>
    <x v="0"/>
    <x v="72"/>
    <x v="95"/>
    <x v="96"/>
    <x v="0"/>
    <x v="0"/>
    <x v="0"/>
  </r>
  <r>
    <x v="115"/>
    <x v="115"/>
    <x v="107"/>
    <x v="62"/>
    <x v="0"/>
    <x v="73"/>
    <x v="96"/>
    <x v="97"/>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 cacheId="8"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Row="1" showEmptyCol="1" compact="0" compactData="0" multipleFieldFilters="0">
  <location ref="A2:E11" firstHeaderRow="1" firstDataRow="2" firstDataCol="1"/>
  <pivotFields count="16">
    <pivotField name="Unit No" compact="0" outline="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sd="0"/>
      </items>
    </pivotField>
    <pivotField name="Customer Name" compact="0" outline="0" showAll="0">
      <items count="2">
        <item sd="0" x="0"/>
        <item t="default" sd="0"/>
      </items>
    </pivotField>
    <pivotField name="DOB" axis="axisRow" compact="0" numFmtId="49" outline="0" showAll="0" sortType="ascending">
      <items count="8">
        <item x="5"/>
        <item x="3"/>
        <item x="0"/>
        <item x="1"/>
        <item x="4"/>
        <item x="6"/>
        <item x="2"/>
        <item t="default" sd="0"/>
      </items>
    </pivotField>
    <pivotField name="Saleable Area" compact="0" outline="0" showAll="0">
      <items count="54">
        <item x="6"/>
        <item x="49"/>
        <item x="21"/>
        <item x="22"/>
        <item x="44"/>
        <item x="20"/>
        <item x="52"/>
        <item x="30"/>
        <item x="32"/>
        <item x="16"/>
        <item x="51"/>
        <item x="4"/>
        <item x="34"/>
        <item x="45"/>
        <item x="35"/>
        <item x="46"/>
        <item x="15"/>
        <item x="0"/>
        <item x="50"/>
        <item x="1"/>
        <item x="41"/>
        <item x="47"/>
        <item x="31"/>
        <item x="12"/>
        <item x="27"/>
        <item x="42"/>
        <item x="2"/>
        <item x="7"/>
        <item x="13"/>
        <item x="18"/>
        <item x="14"/>
        <item x="28"/>
        <item x="5"/>
        <item x="33"/>
        <item x="25"/>
        <item x="43"/>
        <item x="40"/>
        <item x="37"/>
        <item x="8"/>
        <item x="9"/>
        <item x="24"/>
        <item x="23"/>
        <item x="29"/>
        <item x="10"/>
        <item x="19"/>
        <item x="3"/>
        <item x="36"/>
        <item x="26"/>
        <item x="11"/>
        <item x="39"/>
        <item x="48"/>
        <item x="17"/>
        <item x="38"/>
        <item t="default" sd="0"/>
      </items>
    </pivotField>
    <pivotField name="Sales Value (Without Tax)" compact="0" outline="0" showAll="0">
      <items count="4">
        <item x="2"/>
        <item x="0"/>
        <item x="1"/>
        <item t="default" sd="0"/>
      </items>
    </pivotField>
    <pivotField name="Received" dataField="1" compact="0" outline="0" showAll="0"/>
    <pivotField name="Receivables" compact="0" outline="0" showAll="0">
      <items count="54">
        <item x="4"/>
        <item x="45"/>
        <item x="38"/>
        <item x="22"/>
        <item x="47"/>
        <item x="29"/>
        <item x="31"/>
        <item x="44"/>
        <item x="20"/>
        <item x="23"/>
        <item x="37"/>
        <item x="12"/>
        <item x="3"/>
        <item x="39"/>
        <item x="24"/>
        <item x="46"/>
        <item x="7"/>
        <item x="9"/>
        <item x="10"/>
        <item x="6"/>
        <item x="40"/>
        <item x="41"/>
        <item x="16"/>
        <item x="30"/>
        <item x="49"/>
        <item x="48"/>
        <item x="11"/>
        <item x="36"/>
        <item x="17"/>
        <item x="33"/>
        <item x="32"/>
        <item x="8"/>
        <item x="28"/>
        <item x="14"/>
        <item x="51"/>
        <item x="21"/>
        <item x="26"/>
        <item x="18"/>
        <item x="13"/>
        <item x="27"/>
        <item x="34"/>
        <item x="50"/>
        <item x="1"/>
        <item x="19"/>
        <item x="52"/>
        <item x="35"/>
        <item x="15"/>
        <item x="43"/>
        <item x="2"/>
        <item x="42"/>
        <item x="5"/>
        <item x="0"/>
        <item x="25"/>
        <item t="default" sd="0"/>
      </items>
    </pivotField>
    <pivotField name=" " compact="0" outline="0"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sd="0"/>
      </items>
    </pivotField>
    <pivotField name=" 2" dataField="1" compact="0" outline="0" showAll="0"/>
    <pivotField name=" 3" dataField="1" compact="0" outline="0" showAll="0"/>
    <pivotField name=" 4" dataField="1" compact="0" outline="0" showAll="0"/>
    <pivotField name=" 5" compact="0" outline="0" showAll="0">
      <items count="54">
        <item x="21"/>
        <item x="28"/>
        <item x="38"/>
        <item x="32"/>
        <item x="12"/>
        <item x="2"/>
        <item x="20"/>
        <item x="27"/>
        <item x="3"/>
        <item x="14"/>
        <item x="11"/>
        <item x="15"/>
        <item x="39"/>
        <item x="0"/>
        <item x="31"/>
        <item x="1"/>
        <item x="24"/>
        <item x="35"/>
        <item x="26"/>
        <item x="50"/>
        <item x="29"/>
        <item x="22"/>
        <item x="33"/>
        <item x="4"/>
        <item x="18"/>
        <item x="16"/>
        <item x="17"/>
        <item x="49"/>
        <item x="9"/>
        <item x="30"/>
        <item x="19"/>
        <item x="37"/>
        <item x="40"/>
        <item x="7"/>
        <item x="8"/>
        <item x="51"/>
        <item x="42"/>
        <item x="5"/>
        <item x="6"/>
        <item x="52"/>
        <item x="36"/>
        <item x="23"/>
        <item x="13"/>
        <item x="25"/>
        <item x="45"/>
        <item x="44"/>
        <item x="10"/>
        <item x="41"/>
        <item x="46"/>
        <item x="34"/>
        <item x="47"/>
        <item x="43"/>
        <item x="48"/>
        <item t="default" sd="0"/>
      </items>
    </pivotField>
    <pivotField name=" 6" compact="0" outline="0" showAll="0">
      <items count="3">
        <item x="1"/>
        <item x="0"/>
        <item t="default" sd="0"/>
      </items>
    </pivotField>
    <pivotField name=" 7" compact="0" outline="0" showAll="0">
      <items count="4">
        <item x="1"/>
        <item x="2"/>
        <item x="0"/>
        <item t="default" sd="0"/>
      </items>
    </pivotField>
    <pivotField name=" 8" compact="0" outline="0" showAll="0">
      <items count="2">
        <item sd="0" x="0"/>
        <item t="default" sd="0"/>
      </items>
    </pivotField>
    <pivotField name=" 9" compact="0" outline="0" showAll="0">
      <items count="2">
        <item sd="0" x="0"/>
        <item t="default" sd="0"/>
      </items>
    </pivotField>
  </pivotFields>
  <rowFields count="1">
    <field x="2"/>
  </rowFields>
  <rowItems count="8">
    <i>
      <x/>
    </i>
    <i>
      <x v="1"/>
    </i>
    <i>
      <x v="2"/>
    </i>
    <i>
      <x v="3"/>
    </i>
    <i>
      <x v="4"/>
    </i>
    <i>
      <x v="5"/>
    </i>
    <i>
      <x v="6"/>
    </i>
    <i t="grand">
      <x/>
    </i>
  </rowItems>
  <colFields count="1">
    <field x="-2"/>
  </colFields>
  <colItems count="4">
    <i>
      <x/>
    </i>
    <i i="1">
      <x v="1"/>
    </i>
    <i i="2">
      <x v="2"/>
    </i>
    <i i="3">
      <x v="3"/>
    </i>
  </colItems>
  <dataFields count="4">
    <dataField name="Count (All) of Received" fld="5" subtotal="count" baseField="0" baseItem="0"/>
    <dataField name="Sum of  3" fld="9" baseField="0" baseItem="0"/>
    <dataField name="Sum of  4" fld="10" baseField="0" baseItem="0"/>
    <dataField name="Sum of  2" fld="8" baseField="0" baseItem="0"/>
  </dataFields>
  <pivotTableStyleInfo name="PivotStyleCustom01"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400-000001000000}" name="PivotTable2" cacheId="9" dataPosition="0" autoFormatId="0" applyNumberFormats="0" applyBorderFormats="0" applyFontFormats="0" applyPatternFormats="0" applyAlignmentFormats="0" applyWidthHeightFormats="1" dataCaption="" missingCaption="" pivotTableStyle="PivotStyleCustom02" updatedVersion="7" useAutoFormatting="1" createdVersion="7" indent="0" showEmptyRow="1" showEmptyCol="1" compact="0" compactData="0" multipleFieldFilters="0">
  <location ref="A2:F9" firstHeaderRow="1" firstDataRow="2" firstDataCol="1"/>
  <pivotFields count="10">
    <pivotField name="Customer Name" compact="0" outline="0" showAll="0">
      <items count="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sd="0"/>
      </items>
    </pivotField>
    <pivotField name="DOB" compact="0" outline="0" showAll="0">
      <items count="20">
        <item x="0"/>
        <item x="1"/>
        <item x="2"/>
        <item x="3"/>
        <item x="4"/>
        <item x="5"/>
        <item x="6"/>
        <item x="7"/>
        <item x="8"/>
        <item x="9"/>
        <item x="10"/>
        <item x="11"/>
        <item x="12"/>
        <item x="13"/>
        <item x="14"/>
        <item x="15"/>
        <item x="16"/>
        <item x="17"/>
        <item x="18"/>
        <item t="default" sd="0"/>
      </items>
    </pivotField>
    <pivotField name="Saleable Area" compact="0" outline="0" showAll="0">
      <items count="183">
        <item x="181"/>
        <item x="109"/>
        <item x="82"/>
        <item x="79"/>
        <item x="105"/>
        <item x="6"/>
        <item x="98"/>
        <item x="171"/>
        <item x="26"/>
        <item x="68"/>
        <item x="110"/>
        <item x="99"/>
        <item x="102"/>
        <item x="20"/>
        <item x="47"/>
        <item x="180"/>
        <item x="131"/>
        <item x="151"/>
        <item x="3"/>
        <item x="67"/>
        <item x="42"/>
        <item x="85"/>
        <item x="178"/>
        <item x="12"/>
        <item x="0"/>
        <item x="28"/>
        <item x="117"/>
        <item x="101"/>
        <item x="160"/>
        <item x="37"/>
        <item x="126"/>
        <item x="134"/>
        <item x="21"/>
        <item x="14"/>
        <item x="73"/>
        <item x="167"/>
        <item x="29"/>
        <item x="164"/>
        <item x="81"/>
        <item x="136"/>
        <item x="142"/>
        <item x="57"/>
        <item x="74"/>
        <item x="36"/>
        <item x="149"/>
        <item x="138"/>
        <item x="156"/>
        <item x="24"/>
        <item x="27"/>
        <item x="172"/>
        <item x="63"/>
        <item x="49"/>
        <item x="83"/>
        <item x="97"/>
        <item x="9"/>
        <item x="115"/>
        <item x="78"/>
        <item x="25"/>
        <item x="169"/>
        <item x="152"/>
        <item x="111"/>
        <item x="107"/>
        <item x="145"/>
        <item x="59"/>
        <item x="146"/>
        <item x="75"/>
        <item x="7"/>
        <item x="96"/>
        <item x="100"/>
        <item x="165"/>
        <item x="80"/>
        <item x="137"/>
        <item x="128"/>
        <item x="64"/>
        <item x="177"/>
        <item x="116"/>
        <item x="32"/>
        <item x="119"/>
        <item x="31"/>
        <item x="88"/>
        <item x="18"/>
        <item x="133"/>
        <item x="70"/>
        <item x="132"/>
        <item x="92"/>
        <item x="143"/>
        <item x="127"/>
        <item x="135"/>
        <item x="173"/>
        <item x="141"/>
        <item x="94"/>
        <item x="158"/>
        <item x="48"/>
        <item x="95"/>
        <item x="148"/>
        <item x="33"/>
        <item x="52"/>
        <item x="155"/>
        <item x="114"/>
        <item x="84"/>
        <item x="16"/>
        <item x="61"/>
        <item x="60"/>
        <item x="157"/>
        <item x="153"/>
        <item x="4"/>
        <item x="15"/>
        <item x="40"/>
        <item x="120"/>
        <item x="76"/>
        <item x="154"/>
        <item x="170"/>
        <item x="69"/>
        <item x="22"/>
        <item x="129"/>
        <item x="130"/>
        <item x="108"/>
        <item x="179"/>
        <item x="13"/>
        <item x="65"/>
        <item x="106"/>
        <item x="139"/>
        <item x="140"/>
        <item x="23"/>
        <item x="150"/>
        <item x="93"/>
        <item x="55"/>
        <item x="175"/>
        <item x="118"/>
        <item x="161"/>
        <item x="121"/>
        <item x="166"/>
        <item x="176"/>
        <item x="50"/>
        <item x="125"/>
        <item x="19"/>
        <item x="62"/>
        <item x="113"/>
        <item x="122"/>
        <item x="30"/>
        <item x="34"/>
        <item x="39"/>
        <item x="103"/>
        <item x="112"/>
        <item x="53"/>
        <item x="51"/>
        <item x="2"/>
        <item x="174"/>
        <item x="168"/>
        <item x="54"/>
        <item x="90"/>
        <item x="8"/>
        <item x="56"/>
        <item x="71"/>
        <item x="123"/>
        <item x="91"/>
        <item x="89"/>
        <item x="5"/>
        <item x="162"/>
        <item x="159"/>
        <item x="77"/>
        <item x="43"/>
        <item x="144"/>
        <item x="72"/>
        <item x="147"/>
        <item x="124"/>
        <item x="66"/>
        <item x="87"/>
        <item x="38"/>
        <item x="58"/>
        <item x="45"/>
        <item x="41"/>
        <item x="10"/>
        <item x="86"/>
        <item x="163"/>
        <item x="17"/>
        <item x="1"/>
        <item x="46"/>
        <item x="104"/>
        <item x="35"/>
        <item x="44"/>
        <item x="11"/>
        <item t="default" sd="0"/>
      </items>
    </pivotField>
    <pivotField name="Sales Value (Without Tax)" axis="axisRow" compact="0" outline="0" showAll="0" sortType="ascending">
      <items count="6">
        <item x="3"/>
        <item x="0"/>
        <item x="4"/>
        <item x="1"/>
        <item x="2"/>
        <item t="default" sd="0"/>
      </items>
    </pivotField>
    <pivotField name="Received" dataField="1" compact="0" outline="0" showAll="0"/>
    <pivotField name="Receivables" dataField="1" compact="0" outline="0" showAll="0"/>
    <pivotField name=" " dataField="1" compact="0" outline="0" showAll="0"/>
    <pivotField name=" 2" dataField="1" compact="0" outline="0" showAll="0"/>
    <pivotField name=" 3" compact="0" outline="0" showAll="0">
      <items count="63">
        <item x="35"/>
        <item x="48"/>
        <item x="10"/>
        <item x="47"/>
        <item x="31"/>
        <item x="30"/>
        <item x="34"/>
        <item x="13"/>
        <item x="49"/>
        <item x="57"/>
        <item x="2"/>
        <item x="43"/>
        <item x="3"/>
        <item x="11"/>
        <item x="45"/>
        <item x="0"/>
        <item x="15"/>
        <item x="52"/>
        <item x="16"/>
        <item x="42"/>
        <item x="17"/>
        <item x="18"/>
        <item x="23"/>
        <item x="54"/>
        <item x="1"/>
        <item x="46"/>
        <item x="9"/>
        <item x="25"/>
        <item x="53"/>
        <item x="50"/>
        <item x="51"/>
        <item x="55"/>
        <item x="29"/>
        <item x="60"/>
        <item x="58"/>
        <item x="21"/>
        <item x="27"/>
        <item x="4"/>
        <item x="33"/>
        <item x="32"/>
        <item x="5"/>
        <item x="7"/>
        <item x="12"/>
        <item x="22"/>
        <item x="28"/>
        <item x="44"/>
        <item x="56"/>
        <item x="19"/>
        <item x="61"/>
        <item x="59"/>
        <item x="38"/>
        <item x="8"/>
        <item x="20"/>
        <item x="26"/>
        <item x="24"/>
        <item x="6"/>
        <item x="14"/>
        <item x="39"/>
        <item x="37"/>
        <item x="40"/>
        <item x="36"/>
        <item x="41"/>
        <item t="default" sd="0"/>
      </items>
    </pivotField>
    <pivotField name=" 4" dataField="1" compact="0" outline="0" showAll="0"/>
  </pivotFields>
  <rowFields count="1">
    <field x="3"/>
  </rowFields>
  <rowItems count="6">
    <i>
      <x v="2"/>
    </i>
    <i>
      <x v="3"/>
    </i>
    <i>
      <x v="4"/>
    </i>
    <i>
      <x/>
    </i>
    <i>
      <x v="1"/>
    </i>
    <i t="grand">
      <x/>
    </i>
  </rowItems>
  <colFields count="1">
    <field x="-2"/>
  </colFields>
  <colItems count="5">
    <i>
      <x/>
    </i>
    <i i="1">
      <x v="1"/>
    </i>
    <i i="2">
      <x v="2"/>
    </i>
    <i i="3">
      <x v="3"/>
    </i>
    <i i="4">
      <x v="4"/>
    </i>
  </colItems>
  <dataFields count="5">
    <dataField name="Count (All) of Received" fld="4" subtotal="count" baseField="0" baseItem="0"/>
    <dataField name="Sum of  2" fld="7" baseField="0" baseItem="0"/>
    <dataField name="Sum of G" fld="6" baseField="0" baseItem="0"/>
    <dataField name="Sum of Receivables" fld="5" baseField="0" baseItem="0"/>
    <dataField name="Count (All) of  4" fld="9" subtotal="count" baseField="0" baseItem="0"/>
  </dataFields>
  <pivotTableStyleInfo name="PivotStyleCustom0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600-000002000000}" name="PivotTable3" cacheId="10" dataPosition="0" autoFormatId="0" applyNumberFormats="0" applyBorderFormats="0" applyFontFormats="0" applyPatternFormats="0" applyAlignmentFormats="0" applyWidthHeightFormats="1" dataCaption="" missingCaption="" pivotTableStyle="PivotStyleCustom03" updatedVersion="7" useAutoFormatting="1" createdVersion="7" indent="0" showEmptyRow="1" showEmptyCol="1" compact="0" compactData="0" multipleFieldFilters="0">
  <location ref="A2:G8" firstHeaderRow="1" firstDataRow="2" firstDataCol="3"/>
  <pivotFields count="15">
    <pivotField name="Customer Name" compact="0" outline="0" showAll="0">
      <items count="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sd="0"/>
      </items>
    </pivotField>
    <pivotField name="DOB" axis="axisRow" compact="0" numFmtId="14" outline="0" showAll="0" sortType="ascending">
      <items count="4">
        <item x="0"/>
        <item x="1"/>
        <item x="2"/>
        <item t="default" sd="0"/>
      </items>
    </pivotField>
    <pivotField name="Saleable Area" compact="0" outline="0" showAll="0">
      <items count="183">
        <item x="181"/>
        <item x="109"/>
        <item x="82"/>
        <item x="79"/>
        <item x="105"/>
        <item x="6"/>
        <item x="98"/>
        <item x="171"/>
        <item x="26"/>
        <item x="68"/>
        <item x="110"/>
        <item x="99"/>
        <item x="102"/>
        <item x="20"/>
        <item x="47"/>
        <item x="180"/>
        <item x="131"/>
        <item x="151"/>
        <item x="3"/>
        <item x="67"/>
        <item x="42"/>
        <item x="85"/>
        <item x="178"/>
        <item x="12"/>
        <item x="0"/>
        <item x="28"/>
        <item x="117"/>
        <item x="101"/>
        <item x="160"/>
        <item x="37"/>
        <item x="126"/>
        <item x="134"/>
        <item x="21"/>
        <item x="14"/>
        <item x="73"/>
        <item x="167"/>
        <item x="29"/>
        <item x="164"/>
        <item x="81"/>
        <item x="136"/>
        <item x="142"/>
        <item x="57"/>
        <item x="74"/>
        <item x="36"/>
        <item x="149"/>
        <item x="138"/>
        <item x="156"/>
        <item x="24"/>
        <item x="27"/>
        <item x="172"/>
        <item x="63"/>
        <item x="49"/>
        <item x="83"/>
        <item x="97"/>
        <item x="9"/>
        <item x="115"/>
        <item x="78"/>
        <item x="25"/>
        <item x="169"/>
        <item x="152"/>
        <item x="111"/>
        <item x="107"/>
        <item x="145"/>
        <item x="59"/>
        <item x="146"/>
        <item x="75"/>
        <item x="7"/>
        <item x="96"/>
        <item x="100"/>
        <item x="165"/>
        <item x="80"/>
        <item x="137"/>
        <item x="128"/>
        <item x="64"/>
        <item x="177"/>
        <item x="116"/>
        <item x="32"/>
        <item x="119"/>
        <item x="31"/>
        <item x="88"/>
        <item x="18"/>
        <item x="133"/>
        <item x="70"/>
        <item x="132"/>
        <item x="92"/>
        <item x="143"/>
        <item x="127"/>
        <item x="135"/>
        <item x="173"/>
        <item x="141"/>
        <item x="94"/>
        <item x="158"/>
        <item x="48"/>
        <item x="95"/>
        <item x="148"/>
        <item x="33"/>
        <item x="52"/>
        <item x="155"/>
        <item x="114"/>
        <item x="84"/>
        <item x="16"/>
        <item x="61"/>
        <item x="60"/>
        <item x="157"/>
        <item x="153"/>
        <item x="4"/>
        <item x="15"/>
        <item x="40"/>
        <item x="120"/>
        <item x="76"/>
        <item x="154"/>
        <item x="170"/>
        <item x="69"/>
        <item x="22"/>
        <item x="129"/>
        <item x="130"/>
        <item x="108"/>
        <item x="179"/>
        <item x="13"/>
        <item x="65"/>
        <item x="106"/>
        <item x="139"/>
        <item x="140"/>
        <item x="23"/>
        <item x="150"/>
        <item x="93"/>
        <item x="55"/>
        <item x="175"/>
        <item x="118"/>
        <item x="161"/>
        <item x="121"/>
        <item x="166"/>
        <item x="176"/>
        <item x="50"/>
        <item x="125"/>
        <item x="19"/>
        <item x="62"/>
        <item x="113"/>
        <item x="122"/>
        <item x="30"/>
        <item x="34"/>
        <item x="39"/>
        <item x="103"/>
        <item x="112"/>
        <item x="53"/>
        <item x="51"/>
        <item x="2"/>
        <item x="174"/>
        <item x="168"/>
        <item x="54"/>
        <item x="90"/>
        <item x="8"/>
        <item x="56"/>
        <item x="71"/>
        <item x="123"/>
        <item x="91"/>
        <item x="89"/>
        <item x="5"/>
        <item x="162"/>
        <item x="159"/>
        <item x="77"/>
        <item x="43"/>
        <item x="144"/>
        <item x="72"/>
        <item x="147"/>
        <item x="124"/>
        <item x="66"/>
        <item x="87"/>
        <item x="38"/>
        <item x="58"/>
        <item x="45"/>
        <item x="41"/>
        <item x="10"/>
        <item x="86"/>
        <item x="163"/>
        <item x="17"/>
        <item x="1"/>
        <item x="46"/>
        <item x="104"/>
        <item x="35"/>
        <item x="44"/>
        <item x="11"/>
        <item t="default" sd="0"/>
      </items>
    </pivotField>
    <pivotField name="Sales Value (Without Tax)" compact="0" outline="0" showAll="0">
      <items count="6">
        <item x="3"/>
        <item x="0"/>
        <item x="4"/>
        <item x="1"/>
        <item x="2"/>
        <item t="default" sd="0"/>
      </items>
    </pivotField>
    <pivotField name="Received" dataField="1" compact="0" outline="0" showAll="0"/>
    <pivotField name="Receivables" dataField="1" compact="0" outline="0" showAll="0"/>
    <pivotField name=" " dataField="1" compact="0" outline="0" showAll="0"/>
    <pivotField name=" 2" dataField="1" compact="0" outline="0" showAll="0"/>
    <pivotField name=" 3" compact="0" outline="0" showAll="0">
      <items count="63">
        <item x="35"/>
        <item x="48"/>
        <item x="10"/>
        <item x="47"/>
        <item x="31"/>
        <item x="30"/>
        <item x="34"/>
        <item x="13"/>
        <item x="49"/>
        <item x="57"/>
        <item x="2"/>
        <item x="43"/>
        <item x="3"/>
        <item x="11"/>
        <item x="45"/>
        <item x="0"/>
        <item x="15"/>
        <item x="52"/>
        <item x="16"/>
        <item x="42"/>
        <item x="17"/>
        <item x="18"/>
        <item x="23"/>
        <item x="54"/>
        <item x="1"/>
        <item x="46"/>
        <item x="9"/>
        <item x="25"/>
        <item x="53"/>
        <item x="50"/>
        <item x="51"/>
        <item x="55"/>
        <item x="29"/>
        <item x="60"/>
        <item x="58"/>
        <item x="21"/>
        <item x="27"/>
        <item x="4"/>
        <item x="33"/>
        <item x="32"/>
        <item x="5"/>
        <item x="7"/>
        <item x="12"/>
        <item x="22"/>
        <item x="28"/>
        <item x="44"/>
        <item x="56"/>
        <item x="19"/>
        <item x="61"/>
        <item x="59"/>
        <item x="38"/>
        <item x="8"/>
        <item x="20"/>
        <item x="26"/>
        <item x="24"/>
        <item x="6"/>
        <item x="14"/>
        <item x="39"/>
        <item x="37"/>
        <item x="40"/>
        <item x="36"/>
        <item x="41"/>
        <item t="default" sd="0"/>
      </items>
    </pivotField>
    <pivotField name=" 4" compact="0" outline="0" showAll="0">
      <items count="2">
        <item sd="0" x="0"/>
        <item t="default" sd="0"/>
      </items>
    </pivotField>
    <pivotField name=" 5" compact="0" outline="0" showAll="0">
      <items count="2">
        <item sd="0" x="0"/>
        <item t="default" sd="0"/>
      </items>
    </pivotField>
    <pivotField name="Quarters" compact="0" outline="0" showAll="0">
      <items count="2">
        <item sd="0" x="0"/>
        <item t="default" sd="0"/>
      </items>
    </pivotField>
    <pivotField name="Months" compact="0" outline="0" showAll="0">
      <items count="2">
        <item sd="0" x="0"/>
        <item t="default" sd="0"/>
      </items>
    </pivotField>
    <pivotField axis="axisRow" compact="0" outline="0" showAll="0">
      <items count="7">
        <item x="0"/>
        <item x="1"/>
        <item x="2"/>
        <item x="3"/>
        <item x="4"/>
        <item x="5"/>
        <item t="default" sd="0"/>
      </items>
    </pivotField>
    <pivotField axis="axisRow" compact="0" outline="0" showAll="0">
      <items count="15">
        <item x="0"/>
        <item x="1"/>
        <item x="2"/>
        <item x="3"/>
        <item x="4"/>
        <item x="5"/>
        <item x="6"/>
        <item x="7"/>
        <item x="8"/>
        <item x="9"/>
        <item x="10"/>
        <item x="11"/>
        <item x="12"/>
        <item x="13"/>
        <item t="default" sd="0"/>
      </items>
    </pivotField>
  </pivotFields>
  <rowFields count="3">
    <field x="1"/>
    <field x="13"/>
    <field x="14"/>
  </rowFields>
  <rowItems count="5">
    <i/>
    <i r="2"/>
    <i t="default" r="2"/>
    <i t="default" r="2"/>
    <i t="grand">
      <x/>
    </i>
  </rowItems>
  <colFields count="1">
    <field x="-2"/>
  </colFields>
  <colItems count="4">
    <i>
      <x/>
    </i>
    <i i="1">
      <x v="1"/>
    </i>
    <i i="2">
      <x v="2"/>
    </i>
    <i i="3">
      <x v="3"/>
    </i>
  </colItems>
  <dataFields count="4">
    <dataField name="Count (All) of Received" fld="4" subtotal="count" baseField="0" baseItem="0"/>
    <dataField name="Sum of  2" fld="7" baseField="0" baseItem="0"/>
    <dataField name="Sum of G" fld="6" baseField="0" baseItem="0"/>
    <dataField name="Sum of Receivables" fld="5" baseField="0" baseItem="0"/>
  </dataFields>
  <pivotTableStyleInfo name="PivotStyleCustom03"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A00-000003000000}" name="PivotTable1" cacheId="11" dataPosition="0" autoFormatId="0" applyNumberFormats="0" applyBorderFormats="0" applyFontFormats="0" applyPatternFormats="0" applyAlignmentFormats="0" applyWidthHeightFormats="1" dataCaption="" missingCaption="" pivotTableStyle="PivotStyleCustom04" updatedVersion="7" useAutoFormatting="1" createdVersion="7" indent="0" showEmptyRow="1" showEmptyCol="1" compact="0" compactData="0" multipleFieldFilters="0">
  <location ref="A2:G81" firstHeaderRow="1" firstDataRow="2" firstDataCol="2"/>
  <pivotFields count="12">
    <pivotField name="S No." compact="0" outline="0" showAll="0">
      <items count="1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sd="0"/>
      </items>
    </pivotField>
    <pivotField name="Unit No" dataField="1" compact="0" outline="0" showAll="0"/>
    <pivotField name="Customer Name" compact="0" outline="0" showAll="0">
      <items count="109">
        <item x="97"/>
        <item x="105"/>
        <item x="1"/>
        <item x="0"/>
        <item x="107"/>
        <item x="91"/>
        <item x="100"/>
        <item x="68"/>
        <item x="85"/>
        <item x="2"/>
        <item x="9"/>
        <item x="12"/>
        <item x="65"/>
        <item x="40"/>
        <item x="41"/>
        <item x="53"/>
        <item x="80"/>
        <item x="35"/>
        <item x="99"/>
        <item x="25"/>
        <item x="96"/>
        <item x="59"/>
        <item x="44"/>
        <item x="98"/>
        <item x="57"/>
        <item x="64"/>
        <item x="75"/>
        <item x="92"/>
        <item x="7"/>
        <item x="5"/>
        <item x="39"/>
        <item x="22"/>
        <item x="63"/>
        <item x="28"/>
        <item x="46"/>
        <item x="82"/>
        <item x="13"/>
        <item x="74"/>
        <item x="93"/>
        <item x="54"/>
        <item x="8"/>
        <item x="49"/>
        <item x="90"/>
        <item x="37"/>
        <item x="71"/>
        <item x="45"/>
        <item x="27"/>
        <item x="73"/>
        <item x="15"/>
        <item x="61"/>
        <item x="84"/>
        <item x="38"/>
        <item x="72"/>
        <item x="86"/>
        <item x="17"/>
        <item x="48"/>
        <item x="67"/>
        <item x="70"/>
        <item x="26"/>
        <item x="21"/>
        <item x="51"/>
        <item x="30"/>
        <item x="79"/>
        <item x="56"/>
        <item x="81"/>
        <item x="24"/>
        <item x="69"/>
        <item x="3"/>
        <item x="77"/>
        <item x="52"/>
        <item x="4"/>
        <item x="20"/>
        <item x="60"/>
        <item x="95"/>
        <item x="66"/>
        <item x="55"/>
        <item x="94"/>
        <item x="10"/>
        <item x="16"/>
        <item x="36"/>
        <item x="11"/>
        <item x="6"/>
        <item x="29"/>
        <item x="103"/>
        <item x="102"/>
        <item x="34"/>
        <item x="23"/>
        <item x="31"/>
        <item x="62"/>
        <item x="33"/>
        <item x="18"/>
        <item x="88"/>
        <item x="104"/>
        <item x="43"/>
        <item x="106"/>
        <item x="50"/>
        <item x="83"/>
        <item x="14"/>
        <item x="76"/>
        <item x="78"/>
        <item x="42"/>
        <item x="101"/>
        <item x="89"/>
        <item x="47"/>
        <item x="19"/>
        <item x="87"/>
        <item x="58"/>
        <item x="32"/>
        <item t="default" sd="0"/>
      </items>
    </pivotField>
    <pivotField name="DOB" axis="axisRow" compact="0" numFmtId="15" outline="0" showAll="0" sortType="ascending">
      <items count="15">
        <item x="0"/>
        <item x="1"/>
        <item x="2"/>
        <item x="3"/>
        <item x="4"/>
        <item x="5"/>
        <item x="6"/>
        <item x="7"/>
        <item x="8"/>
        <item x="9"/>
        <item x="10"/>
        <item x="11"/>
        <item x="12"/>
        <item x="13"/>
        <item t="default" sd="0"/>
      </items>
    </pivotField>
    <pivotField name="Saleable Area" dataField="1" compact="0" outline="0" showAll="0"/>
    <pivotField name="Sales Value (Without Tax)" dataField="1" compact="0" outline="0" showAll="0"/>
    <pivotField name="Received" dataField="1" compact="0" outline="0" showAll="0"/>
    <pivotField name="Receivables" dataField="1" compact="0" outline="0" showAll="0"/>
    <pivotField name=" " compact="0" outline="0" showAll="0">
      <items count="4">
        <item x="0"/>
        <item x="2"/>
        <item x="1"/>
        <item t="default" sd="0"/>
      </items>
    </pivotField>
    <pivotField name=" 2" compact="0" outline="0" showAll="0">
      <items count="2">
        <item sd="0" x="0"/>
        <item t="default" sd="0"/>
      </items>
    </pivotField>
    <pivotField name="Days" compact="0" outline="0" showAll="0">
      <items count="2">
        <item sd="0" x="0"/>
        <item t="default" sd="0"/>
      </items>
    </pivotField>
    <pivotField axis="axisRow"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sd="0"/>
      </items>
    </pivotField>
  </pivotFields>
  <rowFields count="2">
    <field x="3"/>
    <field x="11"/>
  </rowFields>
  <rowItems count="78">
    <i/>
    <i t="default" r="1"/>
    <i/>
    <i r="1"/>
    <i r="1"/>
    <i r="1"/>
    <i r="1"/>
    <i r="1"/>
    <i r="1"/>
    <i r="1"/>
    <i r="1"/>
    <i r="1"/>
    <i r="1"/>
    <i r="1"/>
    <i r="1"/>
    <i r="1"/>
    <i r="1"/>
    <i r="1"/>
    <i r="1"/>
    <i r="1"/>
    <i r="1"/>
    <i t="default" r="1"/>
    <i/>
    <i r="1"/>
    <i r="1"/>
    <i r="1"/>
    <i r="1"/>
    <i r="1"/>
    <i r="1"/>
    <i r="1"/>
    <i r="1"/>
    <i r="1"/>
    <i r="1"/>
    <i r="1"/>
    <i r="1"/>
    <i r="1"/>
    <i r="1"/>
    <i r="1"/>
    <i r="1"/>
    <i r="1"/>
    <i t="default" r="1"/>
    <i/>
    <i r="1"/>
    <i r="1"/>
    <i r="1"/>
    <i r="1"/>
    <i r="1"/>
    <i r="1"/>
    <i r="1"/>
    <i r="1"/>
    <i r="1"/>
    <i r="1"/>
    <i t="default" r="1"/>
    <i/>
    <i r="1"/>
    <i r="1"/>
    <i r="1"/>
    <i r="1"/>
    <i r="1"/>
    <i r="1"/>
    <i r="1"/>
    <i t="default" r="1"/>
    <i/>
    <i r="1"/>
    <i r="1"/>
    <i r="1"/>
    <i t="default" r="1"/>
    <i/>
    <i r="1"/>
    <i r="1"/>
    <i t="default" r="1"/>
    <i/>
    <i t="default" r="1"/>
    <i/>
    <i r="1"/>
    <i r="1"/>
    <i t="default" r="1"/>
    <i t="grand">
      <x/>
    </i>
  </rowItems>
  <colFields count="1">
    <field x="-2"/>
  </colFields>
  <colItems count="5">
    <i>
      <x/>
    </i>
    <i i="1">
      <x v="1"/>
    </i>
    <i i="2">
      <x v="2"/>
    </i>
    <i i="3">
      <x v="3"/>
    </i>
    <i i="4">
      <x v="4"/>
    </i>
  </colItems>
  <dataFields count="5">
    <dataField name="Count (All) of Unit No" fld="1" subtotal="count" baseField="0" baseItem="0"/>
    <dataField name="Sum of Saleable Area" fld="4" baseField="0" baseItem="0"/>
    <dataField name="Sum of Sales Value (Without Tax)" fld="5" baseField="0" baseItem="0"/>
    <dataField name="Sum of Received" fld="6" baseField="0" baseItem="0"/>
    <dataField name="Sum of Receivables" fld="7" baseField="0" baseItem="0"/>
  </dataFields>
  <pivotTableStyleInfo name="PivotStyleCustom04" showRowHeaders="1" showColHeaders="1" showRowStripes="1"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www.google.com/" TargetMode="Externa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84"/>
  <sheetViews>
    <sheetView showGridLines="0" workbookViewId="0">
      <selection activeCell="D16" sqref="D16"/>
    </sheetView>
  </sheetViews>
  <sheetFormatPr baseColWidth="10" defaultColWidth="10" defaultRowHeight="13" customHeight="1"/>
  <cols>
    <col min="1" max="1" width="2" style="4" customWidth="1"/>
    <col min="2" max="4" width="30.5" style="4" customWidth="1"/>
    <col min="5" max="6" width="10" style="4" customWidth="1"/>
    <col min="7" max="16384" width="10" style="4"/>
  </cols>
  <sheetData>
    <row r="1" spans="1:5" ht="13.5" customHeight="1">
      <c r="A1" s="5"/>
      <c r="B1" s="6"/>
      <c r="C1" s="6"/>
      <c r="D1" s="6"/>
      <c r="E1" s="7"/>
    </row>
    <row r="2" spans="1:5" ht="13.5" customHeight="1">
      <c r="A2" s="8"/>
      <c r="B2" s="9"/>
      <c r="C2" s="9"/>
      <c r="D2" s="9"/>
      <c r="E2" s="10"/>
    </row>
    <row r="3" spans="1:5" ht="0" hidden="1" customHeight="1">
      <c r="A3" s="8"/>
      <c r="B3" s="414" t="s">
        <v>0</v>
      </c>
      <c r="C3" s="415"/>
      <c r="D3" s="415"/>
      <c r="E3" s="10"/>
    </row>
    <row r="4" spans="1:5" ht="13.5" customHeight="1">
      <c r="A4" s="8"/>
      <c r="B4" s="9"/>
      <c r="C4" s="9"/>
      <c r="D4" s="9"/>
      <c r="E4" s="10"/>
    </row>
    <row r="5" spans="1:5" ht="13.5" customHeight="1">
      <c r="A5" s="8"/>
      <c r="B5" s="9"/>
      <c r="C5" s="9"/>
      <c r="D5" s="9"/>
      <c r="E5" s="10"/>
    </row>
    <row r="6" spans="1:5" ht="13.5" customHeight="1">
      <c r="A6" s="8"/>
      <c r="B6" s="9"/>
      <c r="C6" s="9"/>
      <c r="D6" s="9"/>
      <c r="E6" s="10"/>
    </row>
    <row r="7" spans="1:5" ht="19">
      <c r="A7" s="8"/>
      <c r="B7" s="11" t="s">
        <v>1</v>
      </c>
      <c r="C7" s="11" t="s">
        <v>2</v>
      </c>
      <c r="D7" s="11" t="s">
        <v>3</v>
      </c>
      <c r="E7" s="10"/>
    </row>
    <row r="8" spans="1:5" ht="13.5" customHeight="1">
      <c r="A8" s="8"/>
      <c r="B8" s="9"/>
      <c r="C8" s="9"/>
      <c r="D8" s="9"/>
      <c r="E8" s="10"/>
    </row>
    <row r="9" spans="1:5" ht="16">
      <c r="A9" s="8"/>
      <c r="B9" s="12" t="s">
        <v>5</v>
      </c>
      <c r="C9" s="13"/>
      <c r="D9" s="13"/>
      <c r="E9" s="10"/>
    </row>
    <row r="10" spans="1:5" ht="16">
      <c r="A10" s="8"/>
      <c r="B10" s="14"/>
      <c r="C10" s="15" t="s">
        <v>4</v>
      </c>
      <c r="D10" s="16" t="s">
        <v>6</v>
      </c>
      <c r="E10" s="10"/>
    </row>
    <row r="11" spans="1:5" ht="13" customHeight="1">
      <c r="A11" s="8"/>
      <c r="B11" s="1" t="s">
        <v>5</v>
      </c>
      <c r="C11" s="1"/>
      <c r="D11" s="1"/>
      <c r="E11" s="10"/>
    </row>
    <row r="12" spans="1:5" ht="13" customHeight="1">
      <c r="A12" s="8"/>
      <c r="B12" s="2"/>
      <c r="C12" s="2" t="s">
        <v>4</v>
      </c>
      <c r="D12" s="3" t="s">
        <v>5</v>
      </c>
      <c r="E12" s="10"/>
    </row>
    <row r="13" spans="1:5" ht="13" customHeight="1">
      <c r="A13" s="8"/>
      <c r="B13" s="1" t="s">
        <v>7</v>
      </c>
      <c r="C13" s="1"/>
      <c r="D13" s="1"/>
      <c r="E13" s="10"/>
    </row>
    <row r="14" spans="1:5" ht="13" customHeight="1">
      <c r="A14" s="8"/>
      <c r="B14" s="2"/>
      <c r="C14" s="2" t="s">
        <v>4</v>
      </c>
      <c r="D14" s="3" t="s">
        <v>7</v>
      </c>
      <c r="E14" s="10"/>
    </row>
    <row r="15" spans="1:5" ht="13" customHeight="1">
      <c r="A15" s="8"/>
      <c r="B15" s="1" t="s">
        <v>8</v>
      </c>
      <c r="C15" s="1"/>
      <c r="D15" s="1"/>
      <c r="E15" s="10"/>
    </row>
    <row r="16" spans="1:5" ht="13" customHeight="1">
      <c r="A16" s="8"/>
      <c r="B16" s="2"/>
      <c r="C16" s="2" t="s">
        <v>4</v>
      </c>
      <c r="D16" s="3" t="s">
        <v>8</v>
      </c>
      <c r="E16" s="10"/>
    </row>
    <row r="17" spans="1:5" ht="13" customHeight="1">
      <c r="A17" s="8"/>
      <c r="B17" s="1" t="s">
        <v>9</v>
      </c>
      <c r="C17" s="1"/>
      <c r="D17" s="1"/>
      <c r="E17" s="10"/>
    </row>
    <row r="18" spans="1:5" ht="13" customHeight="1">
      <c r="A18" s="8"/>
      <c r="B18" s="2"/>
      <c r="C18" s="2" t="s">
        <v>4</v>
      </c>
      <c r="D18" s="3" t="s">
        <v>9</v>
      </c>
      <c r="E18" s="10"/>
    </row>
    <row r="19" spans="1:5" ht="13" customHeight="1">
      <c r="A19" s="8"/>
      <c r="B19" s="1" t="s">
        <v>10</v>
      </c>
      <c r="C19" s="1"/>
      <c r="D19" s="1"/>
      <c r="E19" s="10"/>
    </row>
    <row r="20" spans="1:5" ht="13" customHeight="1">
      <c r="A20" s="8"/>
      <c r="B20" s="2"/>
      <c r="C20" s="2" t="s">
        <v>4</v>
      </c>
      <c r="D20" s="3" t="s">
        <v>10</v>
      </c>
      <c r="E20" s="10"/>
    </row>
    <row r="21" spans="1:5" ht="13" customHeight="1">
      <c r="A21" s="8"/>
      <c r="B21" s="1" t="s">
        <v>11</v>
      </c>
      <c r="C21" s="1"/>
      <c r="D21" s="1"/>
      <c r="E21" s="10"/>
    </row>
    <row r="22" spans="1:5" ht="13" customHeight="1">
      <c r="A22" s="8"/>
      <c r="B22" s="2"/>
      <c r="C22" s="2" t="s">
        <v>4</v>
      </c>
      <c r="D22" s="3" t="s">
        <v>11</v>
      </c>
      <c r="E22" s="10"/>
    </row>
    <row r="23" spans="1:5" ht="13" customHeight="1">
      <c r="A23" s="8"/>
      <c r="B23" s="1" t="s">
        <v>12</v>
      </c>
      <c r="C23" s="1"/>
      <c r="D23" s="1"/>
      <c r="E23" s="10"/>
    </row>
    <row r="24" spans="1:5" ht="13" customHeight="1">
      <c r="A24" s="8"/>
      <c r="B24" s="2"/>
      <c r="C24" s="2" t="s">
        <v>4</v>
      </c>
      <c r="D24" s="3" t="s">
        <v>12</v>
      </c>
      <c r="E24" s="10"/>
    </row>
    <row r="25" spans="1:5" ht="13" customHeight="1">
      <c r="A25" s="8"/>
      <c r="B25" s="1" t="s">
        <v>13</v>
      </c>
      <c r="C25" s="1"/>
      <c r="D25" s="1"/>
      <c r="E25" s="10"/>
    </row>
    <row r="26" spans="1:5" ht="13" customHeight="1">
      <c r="A26" s="8"/>
      <c r="B26" s="2"/>
      <c r="C26" s="2" t="s">
        <v>4</v>
      </c>
      <c r="D26" s="3" t="s">
        <v>13</v>
      </c>
      <c r="E26" s="10"/>
    </row>
    <row r="27" spans="1:5" ht="13" customHeight="1">
      <c r="A27" s="8"/>
      <c r="B27" s="1" t="s">
        <v>14</v>
      </c>
      <c r="C27" s="1"/>
      <c r="D27" s="1"/>
      <c r="E27" s="10"/>
    </row>
    <row r="28" spans="1:5" ht="13" customHeight="1">
      <c r="A28" s="8"/>
      <c r="B28" s="2"/>
      <c r="C28" s="2" t="s">
        <v>4</v>
      </c>
      <c r="D28" s="3" t="s">
        <v>14</v>
      </c>
      <c r="E28" s="10"/>
    </row>
    <row r="29" spans="1:5" ht="13" customHeight="1">
      <c r="A29" s="8"/>
      <c r="B29" s="1" t="s">
        <v>297</v>
      </c>
      <c r="C29" s="1"/>
      <c r="D29" s="1"/>
      <c r="E29" s="10"/>
    </row>
    <row r="30" spans="1:5" ht="13" customHeight="1">
      <c r="A30" s="8"/>
      <c r="B30" s="2"/>
      <c r="C30" s="2" t="s">
        <v>4</v>
      </c>
      <c r="D30" s="3" t="s">
        <v>297</v>
      </c>
      <c r="E30" s="10"/>
    </row>
    <row r="31" spans="1:5" ht="13" customHeight="1">
      <c r="A31" s="8"/>
      <c r="B31" s="1" t="s">
        <v>306</v>
      </c>
      <c r="C31" s="1"/>
      <c r="D31" s="1"/>
      <c r="E31" s="10"/>
    </row>
    <row r="32" spans="1:5" ht="13" customHeight="1">
      <c r="A32" s="8"/>
      <c r="B32" s="2"/>
      <c r="C32" s="2" t="s">
        <v>4</v>
      </c>
      <c r="D32" s="3" t="s">
        <v>306</v>
      </c>
      <c r="E32" s="10"/>
    </row>
    <row r="33" spans="1:5" ht="13" customHeight="1">
      <c r="A33" s="8"/>
      <c r="B33" s="1" t="s">
        <v>314</v>
      </c>
      <c r="C33" s="1"/>
      <c r="D33" s="1"/>
      <c r="E33" s="10"/>
    </row>
    <row r="34" spans="1:5" ht="13" customHeight="1">
      <c r="A34" s="8"/>
      <c r="B34" s="2"/>
      <c r="C34" s="2" t="s">
        <v>4</v>
      </c>
      <c r="D34" s="3" t="s">
        <v>314</v>
      </c>
      <c r="E34" s="10"/>
    </row>
    <row r="35" spans="1:5" ht="13" customHeight="1">
      <c r="A35" s="8"/>
      <c r="B35" s="1" t="s">
        <v>315</v>
      </c>
      <c r="C35" s="1"/>
      <c r="D35" s="1"/>
      <c r="E35" s="10"/>
    </row>
    <row r="36" spans="1:5" ht="13" customHeight="1">
      <c r="A36" s="8"/>
      <c r="B36" s="2"/>
      <c r="C36" s="2" t="s">
        <v>4</v>
      </c>
      <c r="D36" s="3" t="s">
        <v>315</v>
      </c>
      <c r="E36" s="10"/>
    </row>
    <row r="37" spans="1:5" ht="13" customHeight="1">
      <c r="A37" s="8"/>
      <c r="B37" s="1" t="s">
        <v>324</v>
      </c>
      <c r="C37" s="1"/>
      <c r="D37" s="1"/>
      <c r="E37" s="10"/>
    </row>
    <row r="38" spans="1:5" ht="13" customHeight="1">
      <c r="A38" s="8"/>
      <c r="B38" s="2"/>
      <c r="C38" s="2" t="s">
        <v>4</v>
      </c>
      <c r="D38" s="3" t="s">
        <v>324</v>
      </c>
      <c r="E38" s="10"/>
    </row>
    <row r="39" spans="1:5" ht="13" customHeight="1">
      <c r="A39" s="8"/>
      <c r="B39" s="1" t="s">
        <v>348</v>
      </c>
      <c r="C39" s="1"/>
      <c r="D39" s="1"/>
      <c r="E39" s="10"/>
    </row>
    <row r="40" spans="1:5" ht="13" customHeight="1">
      <c r="A40" s="8"/>
      <c r="B40" s="2"/>
      <c r="C40" s="2" t="s">
        <v>4</v>
      </c>
      <c r="D40" s="3" t="s">
        <v>348</v>
      </c>
      <c r="E40" s="10"/>
    </row>
    <row r="41" spans="1:5" ht="13" customHeight="1">
      <c r="A41" s="8"/>
      <c r="B41" s="1" t="s">
        <v>349</v>
      </c>
      <c r="C41" s="1"/>
      <c r="D41" s="1"/>
      <c r="E41" s="10"/>
    </row>
    <row r="42" spans="1:5" ht="13" customHeight="1">
      <c r="A42" s="8"/>
      <c r="B42" s="2"/>
      <c r="C42" s="2" t="s">
        <v>4</v>
      </c>
      <c r="D42" s="3" t="s">
        <v>349</v>
      </c>
      <c r="E42" s="10"/>
    </row>
    <row r="43" spans="1:5" ht="13" customHeight="1">
      <c r="A43" s="8"/>
      <c r="B43" s="1" t="s">
        <v>351</v>
      </c>
      <c r="C43" s="1"/>
      <c r="D43" s="1"/>
      <c r="E43" s="10"/>
    </row>
    <row r="44" spans="1:5" ht="13" customHeight="1">
      <c r="A44" s="8"/>
      <c r="B44" s="2"/>
      <c r="C44" s="2" t="s">
        <v>15</v>
      </c>
      <c r="D44" s="3" t="s">
        <v>352</v>
      </c>
      <c r="E44" s="10"/>
    </row>
    <row r="45" spans="1:5" ht="13" customHeight="1">
      <c r="A45" s="8"/>
      <c r="B45" s="2"/>
      <c r="C45" s="2" t="s">
        <v>4</v>
      </c>
      <c r="D45" s="3" t="s">
        <v>359</v>
      </c>
      <c r="E45" s="10"/>
    </row>
    <row r="46" spans="1:5" ht="13" customHeight="1">
      <c r="A46" s="8"/>
      <c r="B46" s="1" t="s">
        <v>360</v>
      </c>
      <c r="C46" s="1"/>
      <c r="D46" s="1"/>
      <c r="E46" s="10"/>
    </row>
    <row r="47" spans="1:5" ht="13" customHeight="1">
      <c r="A47" s="8"/>
      <c r="B47" s="2"/>
      <c r="C47" s="2" t="s">
        <v>4</v>
      </c>
      <c r="D47" s="3" t="s">
        <v>360</v>
      </c>
      <c r="E47" s="10"/>
    </row>
    <row r="48" spans="1:5" ht="13" customHeight="1">
      <c r="A48" s="8"/>
      <c r="B48" s="1" t="s">
        <v>361</v>
      </c>
      <c r="C48" s="1"/>
      <c r="D48" s="1"/>
      <c r="E48" s="10"/>
    </row>
    <row r="49" spans="1:5" ht="13" customHeight="1">
      <c r="A49" s="8"/>
      <c r="B49" s="2"/>
      <c r="C49" s="2" t="s">
        <v>16</v>
      </c>
      <c r="D49" s="3" t="s">
        <v>362</v>
      </c>
      <c r="E49" s="10"/>
    </row>
    <row r="50" spans="1:5" ht="13" customHeight="1">
      <c r="A50" s="8"/>
      <c r="B50" s="2"/>
      <c r="C50" s="2" t="s">
        <v>4</v>
      </c>
      <c r="D50" s="3" t="s">
        <v>369</v>
      </c>
      <c r="E50" s="10"/>
    </row>
    <row r="51" spans="1:5" ht="13" customHeight="1">
      <c r="A51" s="8"/>
      <c r="B51" s="1" t="s">
        <v>370</v>
      </c>
      <c r="C51" s="1"/>
      <c r="D51" s="1"/>
      <c r="E51" s="10"/>
    </row>
    <row r="52" spans="1:5" ht="13" customHeight="1">
      <c r="A52" s="8"/>
      <c r="B52" s="2"/>
      <c r="C52" s="2" t="s">
        <v>17</v>
      </c>
      <c r="D52" s="3" t="s">
        <v>371</v>
      </c>
      <c r="E52" s="10"/>
    </row>
    <row r="53" spans="1:5" ht="13" customHeight="1">
      <c r="A53" s="8"/>
      <c r="B53" s="2"/>
      <c r="C53" s="2" t="s">
        <v>4</v>
      </c>
      <c r="D53" s="3" t="s">
        <v>375</v>
      </c>
      <c r="E53" s="10"/>
    </row>
    <row r="54" spans="1:5" ht="13" customHeight="1">
      <c r="A54" s="8"/>
      <c r="B54" s="1" t="s">
        <v>18</v>
      </c>
      <c r="C54" s="1"/>
      <c r="D54" s="1"/>
      <c r="E54" s="10"/>
    </row>
    <row r="55" spans="1:5" ht="13" customHeight="1">
      <c r="A55" s="8"/>
      <c r="B55" s="2"/>
      <c r="C55" s="2" t="s">
        <v>4</v>
      </c>
      <c r="D55" s="3" t="s">
        <v>18</v>
      </c>
      <c r="E55" s="10"/>
    </row>
    <row r="56" spans="1:5" ht="13" customHeight="1">
      <c r="A56" s="8"/>
      <c r="B56" s="1" t="s">
        <v>19</v>
      </c>
      <c r="C56" s="1"/>
      <c r="D56" s="1"/>
      <c r="E56" s="10"/>
    </row>
    <row r="57" spans="1:5" ht="13" customHeight="1">
      <c r="A57" s="8"/>
      <c r="B57" s="2"/>
      <c r="C57" s="2" t="s">
        <v>4</v>
      </c>
      <c r="D57" s="3" t="s">
        <v>19</v>
      </c>
      <c r="E57" s="10"/>
    </row>
    <row r="58" spans="1:5" ht="13" customHeight="1">
      <c r="A58" s="8"/>
      <c r="B58" s="1" t="s">
        <v>398</v>
      </c>
      <c r="C58" s="1"/>
      <c r="D58" s="1"/>
      <c r="E58" s="10"/>
    </row>
    <row r="59" spans="1:5" ht="13" customHeight="1">
      <c r="A59" s="8"/>
      <c r="B59" s="2"/>
      <c r="C59" s="2" t="s">
        <v>15</v>
      </c>
      <c r="D59" s="3" t="s">
        <v>399</v>
      </c>
      <c r="E59" s="10"/>
    </row>
    <row r="60" spans="1:5" ht="13" customHeight="1">
      <c r="A60" s="8"/>
      <c r="B60" s="2"/>
      <c r="C60" s="2" t="s">
        <v>4</v>
      </c>
      <c r="D60" s="3" t="s">
        <v>402</v>
      </c>
      <c r="E60" s="10"/>
    </row>
    <row r="61" spans="1:5" ht="13" customHeight="1">
      <c r="A61" s="8"/>
      <c r="B61" s="1" t="s">
        <v>20</v>
      </c>
      <c r="C61" s="1"/>
      <c r="D61" s="1"/>
      <c r="E61" s="10"/>
    </row>
    <row r="62" spans="1:5" ht="13" customHeight="1">
      <c r="A62" s="8"/>
      <c r="B62" s="2"/>
      <c r="C62" s="2" t="s">
        <v>4</v>
      </c>
      <c r="D62" s="3" t="s">
        <v>20</v>
      </c>
      <c r="E62" s="10"/>
    </row>
    <row r="63" spans="1:5" ht="13" customHeight="1">
      <c r="A63" s="8"/>
      <c r="B63" s="1" t="s">
        <v>21</v>
      </c>
      <c r="C63" s="1"/>
      <c r="D63" s="1"/>
      <c r="E63" s="10"/>
    </row>
    <row r="64" spans="1:5" ht="13" customHeight="1">
      <c r="A64" s="8"/>
      <c r="B64" s="2"/>
      <c r="C64" s="2" t="s">
        <v>4</v>
      </c>
      <c r="D64" s="3" t="s">
        <v>21</v>
      </c>
      <c r="E64" s="10"/>
    </row>
    <row r="65" spans="1:5" ht="13" customHeight="1">
      <c r="A65" s="8"/>
      <c r="B65" s="1" t="s">
        <v>825</v>
      </c>
      <c r="C65" s="1"/>
      <c r="D65" s="1"/>
      <c r="E65" s="10"/>
    </row>
    <row r="66" spans="1:5" ht="13" customHeight="1">
      <c r="A66" s="8"/>
      <c r="B66" s="2"/>
      <c r="C66" s="2" t="s">
        <v>4</v>
      </c>
      <c r="D66" s="3" t="s">
        <v>825</v>
      </c>
      <c r="E66" s="10"/>
    </row>
    <row r="67" spans="1:5" ht="13" customHeight="1">
      <c r="A67" s="8"/>
      <c r="B67" s="1" t="s">
        <v>826</v>
      </c>
      <c r="C67" s="1"/>
      <c r="D67" s="1"/>
      <c r="E67" s="10"/>
    </row>
    <row r="68" spans="1:5" ht="13" customHeight="1">
      <c r="A68" s="8"/>
      <c r="B68" s="2"/>
      <c r="C68" s="2" t="s">
        <v>4</v>
      </c>
      <c r="D68" s="3" t="s">
        <v>826</v>
      </c>
      <c r="E68" s="10"/>
    </row>
    <row r="69" spans="1:5" ht="13" customHeight="1">
      <c r="A69" s="8"/>
      <c r="B69" s="1" t="s">
        <v>829</v>
      </c>
      <c r="C69" s="1"/>
      <c r="D69" s="1"/>
      <c r="E69" s="10"/>
    </row>
    <row r="70" spans="1:5" ht="13" customHeight="1">
      <c r="A70" s="8"/>
      <c r="B70" s="2"/>
      <c r="C70" s="2" t="s">
        <v>4</v>
      </c>
      <c r="D70" s="3" t="s">
        <v>829</v>
      </c>
      <c r="E70" s="10"/>
    </row>
    <row r="71" spans="1:5" ht="13" customHeight="1">
      <c r="A71" s="8"/>
      <c r="B71" s="1" t="s">
        <v>22</v>
      </c>
      <c r="C71" s="1"/>
      <c r="D71" s="1"/>
      <c r="E71" s="10"/>
    </row>
    <row r="72" spans="1:5" ht="13" customHeight="1">
      <c r="A72" s="8"/>
      <c r="B72" s="2"/>
      <c r="C72" s="2" t="s">
        <v>4</v>
      </c>
      <c r="D72" s="3" t="s">
        <v>22</v>
      </c>
      <c r="E72" s="10"/>
    </row>
    <row r="73" spans="1:5" ht="13" customHeight="1">
      <c r="A73" s="8"/>
      <c r="B73" s="1" t="s">
        <v>23</v>
      </c>
      <c r="C73" s="1"/>
      <c r="D73" s="1"/>
      <c r="E73" s="10"/>
    </row>
    <row r="74" spans="1:5" ht="13" customHeight="1">
      <c r="A74" s="17"/>
      <c r="B74" s="2"/>
      <c r="C74" s="2" t="s">
        <v>4</v>
      </c>
      <c r="D74" s="3" t="s">
        <v>23</v>
      </c>
      <c r="E74" s="18"/>
    </row>
    <row r="75" spans="1:5" ht="16">
      <c r="B75" s="1" t="s">
        <v>24</v>
      </c>
      <c r="C75" s="1"/>
      <c r="D75" s="1"/>
    </row>
    <row r="76" spans="1:5" ht="16">
      <c r="B76" s="2"/>
      <c r="C76" s="2" t="s">
        <v>4</v>
      </c>
      <c r="D76" s="3" t="s">
        <v>24</v>
      </c>
    </row>
    <row r="77" spans="1:5" ht="16">
      <c r="B77" s="1" t="s">
        <v>25</v>
      </c>
      <c r="C77" s="1"/>
      <c r="D77" s="1"/>
    </row>
    <row r="78" spans="1:5" ht="16">
      <c r="B78" s="2"/>
      <c r="C78" s="2" t="s">
        <v>4</v>
      </c>
      <c r="D78" s="3" t="s">
        <v>25</v>
      </c>
    </row>
    <row r="79" spans="1:5" ht="16">
      <c r="B79" s="1" t="s">
        <v>26</v>
      </c>
      <c r="C79" s="1"/>
      <c r="D79" s="1"/>
    </row>
    <row r="80" spans="1:5" ht="16">
      <c r="B80" s="2"/>
      <c r="C80" s="2" t="s">
        <v>4</v>
      </c>
      <c r="D80" s="3" t="s">
        <v>26</v>
      </c>
    </row>
    <row r="81" spans="2:4" ht="16">
      <c r="B81" s="1" t="s">
        <v>27</v>
      </c>
      <c r="C81" s="1"/>
      <c r="D81" s="1"/>
    </row>
    <row r="82" spans="2:4" ht="16">
      <c r="B82" s="2"/>
      <c r="C82" s="2" t="s">
        <v>4</v>
      </c>
      <c r="D82" s="3" t="s">
        <v>27</v>
      </c>
    </row>
    <row r="83" spans="2:4" ht="16">
      <c r="B83" s="1" t="s">
        <v>28</v>
      </c>
      <c r="C83" s="1"/>
      <c r="D83" s="1"/>
    </row>
    <row r="84" spans="2:4" ht="16">
      <c r="B84" s="2"/>
      <c r="C84" s="2" t="s">
        <v>4</v>
      </c>
      <c r="D84" s="3" t="s">
        <v>28</v>
      </c>
    </row>
  </sheetData>
  <mergeCells count="1">
    <mergeCell ref="B3:D3"/>
  </mergeCells>
  <hyperlinks>
    <hyperlink ref="D10" location="'Export Summary'!R1C1" display="Export Summary" xr:uid="{00000000-0004-0000-0000-000000000000}"/>
    <hyperlink ref="D10" location="'Project Detail'!R1C1" display="Project Detail" xr:uid="{00000000-0004-0000-0000-000001000000}"/>
    <hyperlink ref="D12" location="'Profile'!R1C1" display="Profile" xr:uid="{00000000-0004-0000-0000-000002000000}"/>
    <hyperlink ref="D14" location="'MIS'!R1C1" display="MIS" xr:uid="{00000000-0004-0000-0000-000003000000}"/>
    <hyperlink ref="D16" location="'Networth'!R1C1" display="Networth" xr:uid="{00000000-0004-0000-0000-000004000000}"/>
    <hyperlink ref="D18" location="'Completed'!R1C1" display="Completed" xr:uid="{00000000-0004-0000-0000-000005000000}"/>
    <hyperlink ref="D20" location="'Promoter Land bank'!R1C1" display="Promoter Land bank" xr:uid="{00000000-0004-0000-0000-000006000000}"/>
    <hyperlink ref="D22" location="'Ongoing'!R1C1" display="Ongoing" xr:uid="{00000000-0004-0000-0000-000007000000}"/>
    <hyperlink ref="D24" location="'Debt'!R1C1" display="Debt" xr:uid="{00000000-0004-0000-0000-000008000000}"/>
    <hyperlink ref="D26" location="'COP-MOF'!R1C1" display="COP-MOF" xr:uid="{00000000-0004-0000-0000-000009000000}"/>
    <hyperlink ref="D28" location="'Sheet1 - PivotTable1'!R1C1" display="Sheet1 - PivotTable1" xr:uid="{00000000-0004-0000-0000-00000A000000}"/>
    <hyperlink ref="D30" location="'Sheet3 - PivotTable1'!R1C1" display="Sheet3 - PivotTable1" xr:uid="{00000000-0004-0000-0000-00000B000000}"/>
    <hyperlink ref="D31" location="'Sheet3 - Table 1'!R1C1" display="Sheet3 - Table 1" xr:uid="{00000000-0004-0000-0000-00000C000000}"/>
    <hyperlink ref="D33" location="'Sheet7 - PivotTable1'!R1C1" display="Sheet7 - PivotTable1" xr:uid="{00000000-0004-0000-0000-00000D000000}"/>
    <hyperlink ref="D35" location="'Sheet8 - PivotTable2'!R1C1" display="Sheet8 - PivotTable2" xr:uid="{00000000-0004-0000-0000-00000E000000}"/>
    <hyperlink ref="D36" location="'Sheet8 - Table 1'!R1C1" display="Sheet8 - Table 1" xr:uid="{00000000-0004-0000-0000-00000F000000}"/>
    <hyperlink ref="D38" location="'Sheet9 - PivotTable2'!R1C1" display="Sheet9 - PivotTable2" xr:uid="{00000000-0004-0000-0000-000010000000}"/>
    <hyperlink ref="D40" location="'Sheet10 - PivotTable1 - Table 1'!R1C1" display="Sheet10 - PivotTable1" xr:uid="{00000000-0004-0000-0000-000011000000}"/>
    <hyperlink ref="D41" location="'Sheet10 - Table 1'!R1C1" display="Sheet10 - Table 1" xr:uid="{00000000-0004-0000-0000-000012000000}"/>
    <hyperlink ref="D43" location="'Sheet12 - PivotTable2 - Table 1'!R1C1" display="Sheet12 - PivotTable2" xr:uid="{00000000-0004-0000-0000-000013000000}"/>
    <hyperlink ref="D45" location="'Sheet13 - PivotTable3 - Table 1'!R1C1" display="Sheet13 - PivotTable3" xr:uid="{00000000-0004-0000-0000-000014000000}"/>
    <hyperlink ref="D47" location="'Velocity'!R1C1" display="Velocity" xr:uid="{00000000-0004-0000-0000-000015000000}"/>
    <hyperlink ref="D49" location="'Sheet16'!R1C1" display="Sheet16" xr:uid="{00000000-0004-0000-0000-000016000000}"/>
    <hyperlink ref="D51" location="'Sheet11 - PivotTable1 - Table 1'!R1C1" display="Sheet11 - PivotTable1" xr:uid="{00000000-0004-0000-0000-000017000000}"/>
    <hyperlink ref="D53" location="'Sold- Prime'!R1C1" display="Sold- Prime" xr:uid="{00000000-0004-0000-0000-000018000000}"/>
    <hyperlink ref="D55" location="'Unsold-Prime'!R1C1" display="Unsold-Prime" xr:uid="{00000000-0004-0000-0000-000019000000}"/>
    <hyperlink ref="D57" location="'Sheet14 - PivotTable1'!R1C1" display="Sheet14 - PivotTable1" xr:uid="{00000000-0004-0000-0000-00001A000000}"/>
    <hyperlink ref="D59" location="'Sheet15 - PivotTable2'!R1C1" display="Sheet15 - PivotTable2" xr:uid="{00000000-0004-0000-0000-00001B000000}"/>
    <hyperlink ref="D60" location="'Sheet15 - Table 1'!R1C1" display="Sheet15 - Table 1" xr:uid="{00000000-0004-0000-0000-00001C000000}"/>
    <hyperlink ref="D62" location="'Unsold '!R1C1" display="Unsold " xr:uid="{00000000-0004-0000-0000-00001D000000}"/>
    <hyperlink ref="D64" location="'Collection Velocity'!R1C1" display="Collection Velocity" xr:uid="{00000000-0004-0000-0000-00001E000000}"/>
    <hyperlink ref="D66" location="'Sheet5'!R1C1" display="Sheet5" xr:uid="{00000000-0004-0000-0000-00001F000000}"/>
    <hyperlink ref="D68" location="'Sheet4'!R1C1" display="Sheet4" xr:uid="{00000000-0004-0000-0000-000020000000}"/>
    <hyperlink ref="D70" location="'Sheet6'!R1C1" display="Sheet6" xr:uid="{00000000-0004-0000-0000-000021000000}"/>
    <hyperlink ref="D72" location="'COP &amp; MOF'!R1C1" display="COP &amp; MOF" xr:uid="{00000000-0004-0000-0000-000022000000}"/>
    <hyperlink ref="D74" location="'GST'!R1C1" display="GST" xr:uid="{00000000-0004-0000-0000-000023000000}"/>
    <hyperlink ref="D12" location="'Project Detail'!R1C1" display="Project Detail" xr:uid="{00000000-0004-0000-0000-000024000000}"/>
    <hyperlink ref="D14" location="'Profile'!R1C1" display="Profile" xr:uid="{00000000-0004-0000-0000-000025000000}"/>
    <hyperlink ref="D16" location="'MIS'!R1C1" display="MIS" xr:uid="{00000000-0004-0000-0000-000026000000}"/>
    <hyperlink ref="D18" location="'Networth'!R1C1" display="Networth" xr:uid="{00000000-0004-0000-0000-000027000000}"/>
    <hyperlink ref="D20" location="'Completed'!R1C1" display="Completed" xr:uid="{00000000-0004-0000-0000-000028000000}"/>
    <hyperlink ref="D22" location="'Promoter Land bank'!R1C1" display="Promoter Land bank" xr:uid="{00000000-0004-0000-0000-000029000000}"/>
    <hyperlink ref="D24" location="'Ongoing'!R1C1" display="Ongoing" xr:uid="{00000000-0004-0000-0000-00002A000000}"/>
    <hyperlink ref="D26" location="'Debt'!R1C1" display="Debt" xr:uid="{00000000-0004-0000-0000-00002B000000}"/>
    <hyperlink ref="D28" location="'COP-MOF'!R1C1" display="COP-MOF" xr:uid="{00000000-0004-0000-0000-00002C000000}"/>
    <hyperlink ref="D30" location="'Sheet1 - PivotTable1'!R1C1" display="Sheet1 - PivotTable1" xr:uid="{00000000-0004-0000-0000-00002D000000}"/>
    <hyperlink ref="D32" location="'Sheet3 - PivotTable1'!R1C1" display="Sheet3 - PivotTable1" xr:uid="{00000000-0004-0000-0000-00002E000000}"/>
    <hyperlink ref="D34" location="'Sheet3 - Table 1'!R1C1" display="Sheet3 - Table 1" xr:uid="{00000000-0004-0000-0000-00002F000000}"/>
    <hyperlink ref="D36" location="'Sheet7 - PivotTable1'!R1C1" display="Sheet7 - PivotTable1" xr:uid="{00000000-0004-0000-0000-000030000000}"/>
    <hyperlink ref="D38" location="'Sheet8 - PivotTable2'!R1C1" display="Sheet8 - PivotTable2" xr:uid="{00000000-0004-0000-0000-000031000000}"/>
    <hyperlink ref="D40" location="'Sheet8 - Table 1'!R1C1" display="Sheet8 - Table 1" xr:uid="{00000000-0004-0000-0000-000032000000}"/>
    <hyperlink ref="D42" location="'Sheet9 - PivotTable2'!R1C1" display="Sheet9 - PivotTable2" xr:uid="{00000000-0004-0000-0000-000033000000}"/>
    <hyperlink ref="D44" location="'Sheet10 - PivotTable1 - PivotTa'!R2C1" display="Sheet10 - PivotTable1 - PivotTa" xr:uid="{00000000-0004-0000-0000-000034000000}"/>
    <hyperlink ref="D45" location="'Sheet10 - PivotTable1 - Table 1'!R1C1" display="Sheet10 - PivotTable1 - Table 1" xr:uid="{00000000-0004-0000-0000-000035000000}"/>
    <hyperlink ref="D47" location="'Sheet10 - Table 1'!R1C1" display="Sheet10 - Table 1" xr:uid="{00000000-0004-0000-0000-000036000000}"/>
    <hyperlink ref="D49" location="'Sheet12 - PivotTable2 - PivotTa'!R2C1" display="Sheet12 - PivotTable2 - PivotTa" xr:uid="{00000000-0004-0000-0000-000037000000}"/>
    <hyperlink ref="D50" location="'Sheet12 - PivotTable2 - Table 1'!R1C1" display="Sheet12 - PivotTable2 - Table 1" xr:uid="{00000000-0004-0000-0000-000038000000}"/>
    <hyperlink ref="D52" location="'Sheet13 - PivotTable3 - PivotTa'!R2C1" display="Sheet13 - PivotTable3 - PivotTa" xr:uid="{00000000-0004-0000-0000-000039000000}"/>
    <hyperlink ref="D53" location="'Sheet13 - PivotTable3 - Table 1'!R1C1" display="Sheet13 - PivotTable3 - Table 1" xr:uid="{00000000-0004-0000-0000-00003A000000}"/>
    <hyperlink ref="D55" location="'Velocity'!R1C1" display="Velocity" xr:uid="{00000000-0004-0000-0000-00003B000000}"/>
    <hyperlink ref="D57" location="'Sheet16'!R1C1" display="Sheet16" xr:uid="{00000000-0004-0000-0000-00003C000000}"/>
    <hyperlink ref="D59" location="'Sheet11 - PivotTable1 - PivotTa'!R2C1" display="Sheet11 - PivotTable1 - PivotTa" xr:uid="{00000000-0004-0000-0000-00003D000000}"/>
    <hyperlink ref="D60" location="'Sheet11 - PivotTable1 - Table 1'!R1C1" display="Sheet11 - PivotTable1 - Table 1" xr:uid="{00000000-0004-0000-0000-00003E000000}"/>
    <hyperlink ref="D62" location="'Sold- Prime'!R1C1" display="Sold- Prime" xr:uid="{00000000-0004-0000-0000-00003F000000}"/>
    <hyperlink ref="D64" location="'Unsold-Prime'!R1C1" display="Unsold-Prime" xr:uid="{00000000-0004-0000-0000-000040000000}"/>
    <hyperlink ref="D66" location="'Sheet14 - PivotTable1'!R1C1" display="Sheet14 - PivotTable1" xr:uid="{00000000-0004-0000-0000-000041000000}"/>
    <hyperlink ref="D68" location="'Sheet15 - PivotTable2'!R1C1" display="Sheet15 - PivotTable2" xr:uid="{00000000-0004-0000-0000-000042000000}"/>
    <hyperlink ref="D70" location="'Sheet15 - Table 1'!R1C1" display="Sheet15 - Table 1" xr:uid="{00000000-0004-0000-0000-000043000000}"/>
    <hyperlink ref="D72" location="'Unsold '!R1C1" display="Unsold " xr:uid="{00000000-0004-0000-0000-000044000000}"/>
    <hyperlink ref="D74" location="'Collection Velocity'!R1C1" display="Collection Velocity" xr:uid="{00000000-0004-0000-0000-000045000000}"/>
    <hyperlink ref="D76" location="'Sheet5'!R1C1" display="Sheet5" xr:uid="{00000000-0004-0000-0000-000046000000}"/>
    <hyperlink ref="D78" location="'Sheet4'!R1C1" display="Sheet4" xr:uid="{00000000-0004-0000-0000-000047000000}"/>
    <hyperlink ref="D80" location="'Sheet6'!R1C1" display="Sheet6" xr:uid="{00000000-0004-0000-0000-000048000000}"/>
    <hyperlink ref="D82" location="'COP &amp; MOF'!R1C1" display="COP &amp; MOF" xr:uid="{00000000-0004-0000-0000-000049000000}"/>
    <hyperlink ref="D84" location="'GST'!R1C1" display="GST" xr:uid="{00000000-0004-0000-0000-00004A000000}"/>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4"/>
  <sheetViews>
    <sheetView showGridLines="0" workbookViewId="0"/>
  </sheetViews>
  <sheetFormatPr baseColWidth="10" defaultColWidth="10.5" defaultRowHeight="14.5" customHeight="1"/>
  <cols>
    <col min="1" max="1" width="4.5" style="4" customWidth="1"/>
    <col min="2" max="2" width="51.5" style="4" customWidth="1"/>
    <col min="3" max="3" width="41.5" style="4" customWidth="1"/>
    <col min="4" max="4" width="9.33203125" style="4" customWidth="1"/>
    <col min="5" max="5" width="10" style="4" customWidth="1"/>
    <col min="6" max="6" width="11.83203125" style="4" customWidth="1"/>
    <col min="7" max="7" width="9.5" style="4" customWidth="1"/>
    <col min="8" max="8" width="10.5" style="4" customWidth="1"/>
    <col min="9" max="16384" width="10.5" style="4"/>
  </cols>
  <sheetData>
    <row r="1" spans="1:7" ht="13.5" customHeight="1">
      <c r="A1" s="19"/>
      <c r="B1" s="20" t="s">
        <v>29</v>
      </c>
      <c r="C1" s="21"/>
      <c r="D1" s="21"/>
      <c r="E1" s="21"/>
      <c r="F1" s="21"/>
      <c r="G1" s="21"/>
    </row>
    <row r="2" spans="1:7" ht="13.5" customHeight="1">
      <c r="A2" s="19"/>
      <c r="B2" s="22"/>
      <c r="C2" s="23"/>
      <c r="D2" s="22"/>
      <c r="E2" s="22"/>
      <c r="F2" s="19"/>
      <c r="G2" s="19"/>
    </row>
    <row r="3" spans="1:7" ht="13.5" customHeight="1">
      <c r="A3" s="24" t="s">
        <v>30</v>
      </c>
      <c r="B3" s="25" t="s">
        <v>31</v>
      </c>
      <c r="C3" s="26" t="s">
        <v>32</v>
      </c>
      <c r="D3" s="27"/>
      <c r="E3" s="22"/>
      <c r="F3" s="19"/>
      <c r="G3" s="19"/>
    </row>
    <row r="4" spans="1:7" ht="13.5" customHeight="1">
      <c r="A4" s="19"/>
      <c r="B4" s="25" t="s">
        <v>33</v>
      </c>
      <c r="C4" s="28">
        <v>44929</v>
      </c>
      <c r="D4" s="27"/>
      <c r="E4" s="22"/>
      <c r="F4" s="19"/>
      <c r="G4" s="19"/>
    </row>
    <row r="5" spans="1:7" ht="13.5" customHeight="1">
      <c r="A5" s="19"/>
      <c r="B5" s="25" t="s">
        <v>34</v>
      </c>
      <c r="C5" s="26" t="s">
        <v>35</v>
      </c>
      <c r="D5" s="27"/>
      <c r="E5" s="22"/>
      <c r="F5" s="19"/>
      <c r="G5" s="19"/>
    </row>
    <row r="6" spans="1:7" ht="13.5" customHeight="1">
      <c r="A6" s="19"/>
      <c r="B6" s="25" t="s">
        <v>36</v>
      </c>
      <c r="C6" s="26" t="s">
        <v>37</v>
      </c>
      <c r="D6" s="27"/>
      <c r="E6" s="22"/>
      <c r="F6" s="19"/>
      <c r="G6" s="19"/>
    </row>
    <row r="7" spans="1:7" ht="13.5" customHeight="1">
      <c r="A7" s="19"/>
      <c r="B7" s="29" t="s">
        <v>38</v>
      </c>
      <c r="C7" s="26" t="s">
        <v>39</v>
      </c>
      <c r="D7" s="27"/>
      <c r="E7" s="22"/>
      <c r="F7" s="19"/>
      <c r="G7" s="19"/>
    </row>
    <row r="8" spans="1:7" ht="13.5" customHeight="1">
      <c r="A8" s="19"/>
      <c r="B8" s="29" t="s">
        <v>40</v>
      </c>
      <c r="C8" s="26" t="s">
        <v>41</v>
      </c>
      <c r="D8" s="27"/>
      <c r="E8" s="22"/>
      <c r="F8" s="19"/>
      <c r="G8" s="19"/>
    </row>
    <row r="9" spans="1:7" ht="13.5" customHeight="1">
      <c r="A9" s="19"/>
      <c r="B9" s="25" t="s">
        <v>42</v>
      </c>
      <c r="C9" s="26" t="s">
        <v>43</v>
      </c>
      <c r="D9" s="27"/>
      <c r="E9" s="22"/>
      <c r="F9" s="19"/>
      <c r="G9" s="19"/>
    </row>
    <row r="10" spans="1:7" ht="13.5" customHeight="1">
      <c r="A10" s="19"/>
      <c r="B10" s="25" t="s">
        <v>44</v>
      </c>
      <c r="C10" s="26" t="s">
        <v>45</v>
      </c>
      <c r="D10" s="27"/>
      <c r="E10" s="22"/>
      <c r="F10" s="19"/>
      <c r="G10" s="19"/>
    </row>
    <row r="11" spans="1:7" ht="13.5" customHeight="1">
      <c r="A11" s="19"/>
      <c r="B11" s="25" t="s">
        <v>46</v>
      </c>
      <c r="C11" s="26" t="s">
        <v>47</v>
      </c>
      <c r="D11" s="27"/>
      <c r="E11" s="22"/>
      <c r="F11" s="19"/>
      <c r="G11" s="19"/>
    </row>
    <row r="12" spans="1:7" ht="13.5" customHeight="1">
      <c r="A12" s="19"/>
      <c r="B12" s="25" t="s">
        <v>48</v>
      </c>
      <c r="C12" s="26" t="s">
        <v>49</v>
      </c>
      <c r="D12" s="27"/>
      <c r="E12" s="22"/>
      <c r="F12" s="19"/>
      <c r="G12" s="19"/>
    </row>
    <row r="13" spans="1:7" ht="13.5" customHeight="1">
      <c r="A13" s="19"/>
      <c r="B13" s="29" t="s">
        <v>50</v>
      </c>
      <c r="C13" s="30">
        <v>45017</v>
      </c>
      <c r="D13" s="27"/>
      <c r="E13" s="22"/>
      <c r="F13" s="19"/>
      <c r="G13" s="19"/>
    </row>
    <row r="14" spans="1:7" ht="13.5" customHeight="1">
      <c r="A14" s="19"/>
      <c r="B14" s="29" t="s">
        <v>51</v>
      </c>
      <c r="C14" s="31">
        <v>45261</v>
      </c>
      <c r="D14" s="27"/>
      <c r="E14" s="22"/>
      <c r="F14" s="19"/>
      <c r="G14" s="19"/>
    </row>
    <row r="15" spans="1:7" ht="13.5" customHeight="1">
      <c r="A15" s="19"/>
      <c r="B15" s="29" t="s">
        <v>52</v>
      </c>
      <c r="C15" s="26" t="s">
        <v>53</v>
      </c>
      <c r="D15" s="27"/>
      <c r="E15" s="22"/>
      <c r="F15" s="19"/>
      <c r="G15" s="19"/>
    </row>
    <row r="16" spans="1:7" ht="13.5" customHeight="1">
      <c r="A16" s="19"/>
      <c r="B16" s="29" t="s">
        <v>54</v>
      </c>
      <c r="C16" s="32">
        <v>10000</v>
      </c>
      <c r="D16" s="27"/>
      <c r="E16" s="22"/>
      <c r="F16" s="19"/>
      <c r="G16" s="19"/>
    </row>
    <row r="17" spans="1:7" ht="13.5" customHeight="1">
      <c r="A17" s="19"/>
      <c r="B17" s="29" t="s">
        <v>55</v>
      </c>
      <c r="C17" s="26" t="s">
        <v>56</v>
      </c>
      <c r="D17" s="27"/>
      <c r="E17" s="22"/>
      <c r="F17" s="19"/>
      <c r="G17" s="19"/>
    </row>
    <row r="18" spans="1:7" ht="13.75" customHeight="1">
      <c r="A18" s="19"/>
      <c r="B18" s="29" t="s">
        <v>57</v>
      </c>
      <c r="C18" s="33" t="s">
        <v>58</v>
      </c>
      <c r="D18" s="27"/>
      <c r="E18" s="22"/>
      <c r="F18" s="19"/>
      <c r="G18" s="19"/>
    </row>
    <row r="19" spans="1:7" ht="13.5" customHeight="1">
      <c r="A19" s="19"/>
      <c r="B19" s="22"/>
      <c r="C19" s="34"/>
      <c r="D19" s="22"/>
      <c r="E19" s="22"/>
      <c r="F19" s="19"/>
      <c r="G19" s="19"/>
    </row>
    <row r="20" spans="1:7" ht="13.5" customHeight="1">
      <c r="A20" s="24" t="s">
        <v>59</v>
      </c>
      <c r="B20" s="35" t="s">
        <v>60</v>
      </c>
      <c r="C20" s="22"/>
      <c r="D20" s="22"/>
      <c r="E20" s="22"/>
      <c r="F20" s="19"/>
      <c r="G20" s="19"/>
    </row>
    <row r="21" spans="1:7" ht="13.5" customHeight="1">
      <c r="A21" s="19"/>
      <c r="B21" s="36" t="s">
        <v>61</v>
      </c>
      <c r="C21" s="37">
        <v>100</v>
      </c>
      <c r="D21" s="37">
        <f>C21/4047</f>
        <v>2.4709661477637757E-2</v>
      </c>
      <c r="E21" s="22"/>
      <c r="F21" s="19"/>
      <c r="G21" s="19"/>
    </row>
    <row r="22" spans="1:7" ht="13.5" customHeight="1">
      <c r="A22" s="19"/>
      <c r="B22" s="36" t="s">
        <v>62</v>
      </c>
      <c r="C22" s="36" t="s">
        <v>63</v>
      </c>
      <c r="D22" s="22"/>
      <c r="E22" s="22"/>
      <c r="F22" s="19"/>
      <c r="G22" s="19"/>
    </row>
    <row r="23" spans="1:7" ht="13.5" customHeight="1">
      <c r="A23" s="19"/>
      <c r="B23" s="36" t="s">
        <v>64</v>
      </c>
      <c r="C23" s="38" t="str">
        <f>C3</f>
        <v>ABC Developer</v>
      </c>
      <c r="D23" s="22"/>
      <c r="E23" s="22"/>
      <c r="F23" s="19"/>
      <c r="G23" s="19"/>
    </row>
    <row r="24" spans="1:7" ht="13.5" customHeight="1">
      <c r="A24" s="19"/>
      <c r="B24" s="24" t="s">
        <v>65</v>
      </c>
      <c r="C24" s="24" t="s">
        <v>66</v>
      </c>
      <c r="D24" s="39">
        <v>1</v>
      </c>
      <c r="E24" s="24" t="s">
        <v>67</v>
      </c>
      <c r="F24" s="39"/>
      <c r="G24" s="24" t="s">
        <v>68</v>
      </c>
    </row>
    <row r="25" spans="1:7" ht="13.5" customHeight="1">
      <c r="A25" s="19"/>
      <c r="B25" s="36" t="s">
        <v>69</v>
      </c>
      <c r="C25" s="40" t="s">
        <v>70</v>
      </c>
      <c r="D25" s="22"/>
      <c r="E25" s="22"/>
      <c r="F25" s="19"/>
      <c r="G25" s="19"/>
    </row>
    <row r="26" spans="1:7" ht="13.5" customHeight="1">
      <c r="A26" s="19"/>
      <c r="B26" s="22"/>
      <c r="C26" s="22"/>
      <c r="D26" s="22"/>
      <c r="E26" s="22"/>
      <c r="F26" s="19"/>
      <c r="G26" s="19"/>
    </row>
    <row r="27" spans="1:7" ht="13.5" customHeight="1">
      <c r="A27" s="24" t="s">
        <v>71</v>
      </c>
      <c r="B27" s="35" t="s">
        <v>72</v>
      </c>
      <c r="C27" s="22"/>
      <c r="D27" s="22"/>
      <c r="E27" s="22"/>
      <c r="F27" s="19"/>
      <c r="G27" s="19"/>
    </row>
    <row r="28" spans="1:7" ht="13.5" customHeight="1">
      <c r="A28" s="19"/>
      <c r="B28" s="24" t="s">
        <v>73</v>
      </c>
      <c r="C28" s="41"/>
      <c r="D28" s="22"/>
      <c r="E28" s="22"/>
      <c r="F28" s="19"/>
      <c r="G28" s="19"/>
    </row>
    <row r="29" spans="1:7" ht="13.5" customHeight="1">
      <c r="A29" s="19"/>
      <c r="B29" s="24" t="s">
        <v>74</v>
      </c>
      <c r="C29" s="42">
        <v>5</v>
      </c>
      <c r="D29" s="19"/>
      <c r="E29" s="19"/>
      <c r="F29" s="19"/>
      <c r="G29" s="19"/>
    </row>
    <row r="30" spans="1:7" ht="13.5" customHeight="1">
      <c r="A30" s="19"/>
      <c r="B30" s="19"/>
      <c r="C30" s="19"/>
      <c r="D30" s="19"/>
      <c r="E30" s="19"/>
      <c r="F30" s="19"/>
      <c r="G30" s="19"/>
    </row>
    <row r="31" spans="1:7" ht="13.5" customHeight="1">
      <c r="A31" s="24" t="s">
        <v>75</v>
      </c>
      <c r="B31" s="43" t="s">
        <v>76</v>
      </c>
      <c r="C31" s="44"/>
      <c r="D31" s="44"/>
      <c r="E31" s="44"/>
      <c r="F31" s="19"/>
      <c r="G31" s="19"/>
    </row>
    <row r="32" spans="1:7" ht="29" customHeight="1">
      <c r="A32" s="45"/>
      <c r="B32" s="46" t="s">
        <v>77</v>
      </c>
      <c r="C32" s="47" t="s">
        <v>78</v>
      </c>
      <c r="D32" s="47" t="s">
        <v>79</v>
      </c>
      <c r="E32" s="47" t="s">
        <v>80</v>
      </c>
      <c r="F32" s="48"/>
      <c r="G32" s="19"/>
    </row>
    <row r="33" spans="1:7" ht="13.5" customHeight="1">
      <c r="A33" s="19"/>
      <c r="B33" s="49"/>
      <c r="C33" s="50"/>
      <c r="D33" s="51"/>
      <c r="E33" s="51"/>
      <c r="F33" s="52"/>
      <c r="G33" s="19"/>
    </row>
    <row r="34" spans="1:7" ht="13.5" customHeight="1">
      <c r="A34" s="45"/>
      <c r="B34" s="53" t="s">
        <v>81</v>
      </c>
      <c r="C34" s="54"/>
      <c r="D34" s="55"/>
      <c r="E34" s="55"/>
      <c r="F34" s="56"/>
      <c r="G34" s="19"/>
    </row>
    <row r="35" spans="1:7" ht="13.5" customHeight="1">
      <c r="A35" s="45"/>
      <c r="B35" s="53" t="s">
        <v>67</v>
      </c>
      <c r="C35" s="54"/>
      <c r="D35" s="55"/>
      <c r="E35" s="55"/>
      <c r="F35" s="57"/>
      <c r="G35" s="19"/>
    </row>
    <row r="36" spans="1:7" ht="13.5" customHeight="1">
      <c r="A36" s="19"/>
      <c r="B36" s="58"/>
      <c r="C36" s="59"/>
      <c r="D36" s="60"/>
      <c r="E36" s="60"/>
      <c r="F36" s="61"/>
      <c r="G36" s="19"/>
    </row>
    <row r="37" spans="1:7" ht="15" customHeight="1">
      <c r="A37" s="19"/>
      <c r="B37" s="62" t="s">
        <v>82</v>
      </c>
      <c r="C37" s="63">
        <f>C35+C34</f>
        <v>0</v>
      </c>
      <c r="D37" s="64">
        <f>D35+D34</f>
        <v>0</v>
      </c>
      <c r="E37" s="64">
        <f>SUM(E34:E35)</f>
        <v>0</v>
      </c>
      <c r="F37" s="52"/>
      <c r="G37" s="19"/>
    </row>
    <row r="38" spans="1:7" ht="15" customHeight="1">
      <c r="A38" s="19"/>
      <c r="B38" s="65"/>
      <c r="C38" s="34"/>
      <c r="D38" s="34"/>
      <c r="E38" s="34"/>
      <c r="F38" s="19"/>
      <c r="G38" s="19"/>
    </row>
    <row r="39" spans="1:7" ht="13.5" customHeight="1">
      <c r="A39" s="24" t="s">
        <v>83</v>
      </c>
      <c r="B39" s="66" t="s">
        <v>84</v>
      </c>
      <c r="C39" s="23"/>
      <c r="D39" s="23"/>
      <c r="E39" s="23"/>
      <c r="F39" s="19"/>
      <c r="G39" s="19"/>
    </row>
    <row r="40" spans="1:7" ht="28" customHeight="1">
      <c r="A40" s="45"/>
      <c r="B40" s="67" t="s">
        <v>77</v>
      </c>
      <c r="C40" s="68" t="s">
        <v>85</v>
      </c>
      <c r="D40" s="68" t="s">
        <v>86</v>
      </c>
      <c r="E40" s="68" t="s">
        <v>82</v>
      </c>
      <c r="F40" s="69"/>
      <c r="G40" s="70"/>
    </row>
    <row r="41" spans="1:7" ht="13.5" customHeight="1">
      <c r="A41" s="19"/>
      <c r="B41" s="71"/>
      <c r="C41" s="72"/>
      <c r="D41" s="72"/>
      <c r="E41" s="72"/>
      <c r="F41" s="70"/>
      <c r="G41" s="70"/>
    </row>
    <row r="42" spans="1:7" ht="13.5" customHeight="1">
      <c r="A42" s="45"/>
      <c r="B42" s="53" t="s">
        <v>87</v>
      </c>
      <c r="C42" s="73"/>
      <c r="D42" s="74"/>
      <c r="E42" s="75"/>
      <c r="F42" s="76"/>
      <c r="G42" s="77"/>
    </row>
    <row r="43" spans="1:7" ht="13.5" customHeight="1">
      <c r="A43" s="45"/>
      <c r="B43" s="53" t="s">
        <v>88</v>
      </c>
      <c r="C43" s="73"/>
      <c r="D43" s="78"/>
      <c r="E43" s="75"/>
      <c r="F43" s="79"/>
      <c r="G43" s="80"/>
    </row>
    <row r="44" spans="1:7" ht="17.25" customHeight="1">
      <c r="A44" s="45"/>
      <c r="B44" s="53" t="s">
        <v>89</v>
      </c>
      <c r="C44" s="81"/>
      <c r="D44" s="82"/>
      <c r="E44" s="83"/>
      <c r="F44" s="84"/>
      <c r="G44" s="85"/>
    </row>
    <row r="45" spans="1:7" ht="17.25" customHeight="1">
      <c r="A45" s="45"/>
      <c r="B45" s="86" t="s">
        <v>90</v>
      </c>
      <c r="C45" s="81"/>
      <c r="D45" s="81"/>
      <c r="E45" s="83"/>
      <c r="F45" s="87"/>
      <c r="G45" s="88"/>
    </row>
    <row r="46" spans="1:7" ht="13.5" customHeight="1">
      <c r="A46" s="45"/>
      <c r="B46" s="53" t="s">
        <v>79</v>
      </c>
      <c r="C46" s="89"/>
      <c r="D46" s="89"/>
      <c r="E46" s="83">
        <f>C46+D46</f>
        <v>0</v>
      </c>
      <c r="F46" s="90"/>
      <c r="G46" s="91"/>
    </row>
    <row r="47" spans="1:7" ht="13.5" customHeight="1">
      <c r="A47" s="45"/>
      <c r="B47" s="53" t="s">
        <v>91</v>
      </c>
      <c r="C47" s="89"/>
      <c r="D47" s="89"/>
      <c r="E47" s="83"/>
      <c r="F47" s="92"/>
      <c r="G47" s="91"/>
    </row>
    <row r="48" spans="1:7" ht="13.5" customHeight="1">
      <c r="A48" s="45"/>
      <c r="B48" s="53" t="s">
        <v>92</v>
      </c>
      <c r="C48" s="89">
        <f>C34</f>
        <v>0</v>
      </c>
      <c r="D48" s="89"/>
      <c r="E48" s="83">
        <f>C48+D48</f>
        <v>0</v>
      </c>
      <c r="F48" s="90"/>
      <c r="G48" s="91"/>
    </row>
    <row r="49" spans="1:7" ht="13.5" customHeight="1">
      <c r="A49" s="45"/>
      <c r="B49" s="86" t="s">
        <v>93</v>
      </c>
      <c r="C49" s="89"/>
      <c r="D49" s="89"/>
      <c r="E49" s="83"/>
      <c r="F49" s="87"/>
      <c r="G49" s="91"/>
    </row>
    <row r="50" spans="1:7" ht="13.5" customHeight="1">
      <c r="A50" s="45"/>
      <c r="B50" s="53" t="s">
        <v>94</v>
      </c>
      <c r="C50" s="89"/>
      <c r="D50" s="89"/>
      <c r="E50" s="83">
        <f>C50+D50</f>
        <v>0</v>
      </c>
      <c r="F50" s="87"/>
      <c r="G50" s="91"/>
    </row>
    <row r="51" spans="1:7" ht="13.5" customHeight="1">
      <c r="A51" s="45"/>
      <c r="B51" s="53" t="s">
        <v>95</v>
      </c>
      <c r="C51" s="89"/>
      <c r="D51" s="89"/>
      <c r="E51" s="83"/>
      <c r="F51" s="87"/>
      <c r="G51" s="91"/>
    </row>
    <row r="52" spans="1:7" ht="13.5" customHeight="1">
      <c r="A52" s="45"/>
      <c r="B52" s="53" t="s">
        <v>92</v>
      </c>
      <c r="C52" s="89"/>
      <c r="D52" s="89"/>
      <c r="E52" s="83">
        <f>C52+D52</f>
        <v>0</v>
      </c>
      <c r="F52" s="87"/>
      <c r="G52" s="91"/>
    </row>
    <row r="53" spans="1:7" ht="13.5" customHeight="1">
      <c r="A53" s="45"/>
      <c r="B53" s="93" t="s">
        <v>96</v>
      </c>
      <c r="C53" s="83">
        <f>C46+C50</f>
        <v>0</v>
      </c>
      <c r="D53" s="83">
        <f>D46+D50</f>
        <v>0</v>
      </c>
      <c r="E53" s="83">
        <f>C53+D53</f>
        <v>0</v>
      </c>
      <c r="F53" s="94"/>
      <c r="G53" s="95"/>
    </row>
    <row r="54" spans="1:7" ht="13.5" customHeight="1">
      <c r="A54" s="45"/>
      <c r="B54" s="93" t="s">
        <v>97</v>
      </c>
      <c r="C54" s="83">
        <f>C48+C52</f>
        <v>0</v>
      </c>
      <c r="D54" s="83">
        <f>D48+D52</f>
        <v>0</v>
      </c>
      <c r="E54" s="83">
        <f>C54+D54</f>
        <v>0</v>
      </c>
      <c r="F54" s="94"/>
      <c r="G54" s="95"/>
    </row>
  </sheetData>
  <hyperlinks>
    <hyperlink ref="C15" r:id="rId1" xr:uid="{00000000-0004-0000-0100-000000000000}"/>
  </hyperlink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6"/>
  <sheetViews>
    <sheetView showGridLines="0" workbookViewId="0"/>
  </sheetViews>
  <sheetFormatPr baseColWidth="10" defaultColWidth="8.83203125" defaultRowHeight="14.5" customHeight="1"/>
  <cols>
    <col min="1" max="1" width="8.83203125" style="4" customWidth="1"/>
    <col min="2" max="2" width="26.83203125" style="4" customWidth="1"/>
    <col min="3" max="5" width="8.83203125" style="4" customWidth="1"/>
    <col min="6" max="6" width="5.5" style="4" customWidth="1"/>
    <col min="7" max="8" width="8.83203125" style="4" customWidth="1"/>
    <col min="9" max="9" width="4.5" style="4" customWidth="1"/>
    <col min="10" max="11" width="8.83203125" style="4" customWidth="1"/>
    <col min="12" max="12" width="18" style="4" customWidth="1"/>
    <col min="13" max="13" width="17.83203125" style="4" customWidth="1"/>
    <col min="14" max="14" width="15.1640625" style="4" customWidth="1"/>
    <col min="15" max="15" width="17.1640625" style="4" customWidth="1"/>
    <col min="16" max="16" width="8.83203125" style="4" customWidth="1"/>
    <col min="17" max="16384" width="8.83203125" style="4"/>
  </cols>
  <sheetData>
    <row r="1" spans="1:15" ht="13.75" customHeight="1">
      <c r="A1" s="24" t="s">
        <v>98</v>
      </c>
      <c r="B1" s="19"/>
      <c r="C1" s="19"/>
      <c r="D1" s="19"/>
      <c r="E1" s="19"/>
      <c r="F1" s="19"/>
      <c r="G1" s="19"/>
      <c r="H1" s="19"/>
      <c r="I1" s="19"/>
      <c r="J1" s="19"/>
      <c r="K1" s="45"/>
      <c r="L1" s="96" t="s">
        <v>99</v>
      </c>
      <c r="M1" s="96" t="s">
        <v>100</v>
      </c>
      <c r="N1" s="96" t="s">
        <v>101</v>
      </c>
      <c r="O1" s="96" t="s">
        <v>102</v>
      </c>
    </row>
    <row r="2" spans="1:15" ht="13.75" customHeight="1">
      <c r="A2" s="19"/>
      <c r="B2" s="19"/>
      <c r="C2" s="19"/>
      <c r="D2" s="19"/>
      <c r="E2" s="19"/>
      <c r="F2" s="19"/>
      <c r="G2" s="19"/>
      <c r="H2" s="19"/>
      <c r="I2" s="19"/>
      <c r="J2" s="19"/>
      <c r="K2" s="45"/>
      <c r="L2" s="97"/>
      <c r="M2" s="98"/>
      <c r="N2" s="98"/>
      <c r="O2" s="98"/>
    </row>
    <row r="3" spans="1:15" ht="13.75" customHeight="1">
      <c r="A3" s="24" t="s">
        <v>103</v>
      </c>
      <c r="B3" s="19"/>
      <c r="C3" s="19"/>
      <c r="D3" s="19"/>
      <c r="E3" s="19"/>
      <c r="F3" s="19"/>
      <c r="G3" s="19"/>
      <c r="H3" s="19"/>
      <c r="I3" s="19"/>
      <c r="J3" s="19"/>
      <c r="K3" s="45"/>
      <c r="L3" s="97"/>
      <c r="M3" s="98"/>
      <c r="N3" s="98"/>
      <c r="O3" s="98"/>
    </row>
    <row r="4" spans="1:15" ht="13.5" customHeight="1">
      <c r="A4" s="19"/>
      <c r="B4" s="417"/>
      <c r="C4" s="417"/>
      <c r="D4" s="417"/>
      <c r="E4" s="417"/>
      <c r="F4" s="417"/>
      <c r="G4" s="417"/>
      <c r="H4" s="417"/>
      <c r="I4" s="417"/>
      <c r="J4" s="99"/>
      <c r="K4" s="19"/>
      <c r="L4" s="100"/>
      <c r="M4" s="100"/>
      <c r="N4" s="100"/>
      <c r="O4" s="100"/>
    </row>
    <row r="5" spans="1:15" ht="13.5" customHeight="1">
      <c r="A5" s="19"/>
      <c r="B5" s="417"/>
      <c r="C5" s="417"/>
      <c r="D5" s="417"/>
      <c r="E5" s="417"/>
      <c r="F5" s="417"/>
      <c r="G5" s="417"/>
      <c r="H5" s="417"/>
      <c r="I5" s="417"/>
      <c r="J5" s="19"/>
      <c r="K5" s="19"/>
      <c r="L5" s="19"/>
      <c r="M5" s="19"/>
      <c r="N5" s="19"/>
      <c r="O5" s="19"/>
    </row>
    <row r="6" spans="1:15" ht="13.5" customHeight="1">
      <c r="A6" s="19"/>
      <c r="B6" s="19"/>
      <c r="C6" s="19"/>
      <c r="D6" s="19"/>
      <c r="E6" s="19"/>
      <c r="F6" s="19"/>
      <c r="G6" s="19"/>
      <c r="H6" s="19"/>
      <c r="I6" s="19"/>
      <c r="J6" s="19"/>
      <c r="K6" s="19"/>
      <c r="L6" s="19"/>
      <c r="M6" s="19"/>
      <c r="N6" s="19"/>
      <c r="O6" s="19"/>
    </row>
    <row r="7" spans="1:15" ht="13.5" customHeight="1">
      <c r="A7" s="19"/>
      <c r="B7" s="19"/>
      <c r="C7" s="19"/>
      <c r="D7" s="19"/>
      <c r="E7" s="19"/>
      <c r="F7" s="19"/>
      <c r="G7" s="19"/>
      <c r="H7" s="19"/>
      <c r="I7" s="19"/>
      <c r="J7" s="19"/>
      <c r="K7" s="19"/>
      <c r="L7" s="19"/>
      <c r="M7" s="19"/>
      <c r="N7" s="19"/>
      <c r="O7" s="19"/>
    </row>
    <row r="8" spans="1:15" ht="13.5" customHeight="1">
      <c r="A8" s="19"/>
      <c r="B8" s="417"/>
      <c r="C8" s="417"/>
      <c r="D8" s="417"/>
      <c r="E8" s="417"/>
      <c r="F8" s="417"/>
      <c r="G8" s="417"/>
      <c r="H8" s="417"/>
      <c r="I8" s="417"/>
      <c r="J8" s="19"/>
      <c r="K8" s="19"/>
      <c r="L8" s="19"/>
      <c r="M8" s="19"/>
      <c r="N8" s="19"/>
      <c r="O8" s="19"/>
    </row>
    <row r="9" spans="1:15" ht="13.5" customHeight="1">
      <c r="A9" s="19"/>
      <c r="B9" s="44"/>
      <c r="C9" s="44"/>
      <c r="D9" s="44"/>
      <c r="E9" s="44"/>
      <c r="F9" s="44"/>
      <c r="G9" s="44"/>
      <c r="H9" s="44"/>
      <c r="I9" s="44"/>
      <c r="J9" s="19"/>
      <c r="K9" s="19"/>
      <c r="L9" s="19"/>
      <c r="M9" s="19"/>
      <c r="N9" s="19"/>
      <c r="O9" s="19"/>
    </row>
    <row r="10" spans="1:15" ht="13.5" customHeight="1">
      <c r="A10" s="45"/>
      <c r="B10" s="26" t="s">
        <v>104</v>
      </c>
      <c r="C10" s="418"/>
      <c r="D10" s="418"/>
      <c r="E10" s="418"/>
      <c r="F10" s="418"/>
      <c r="G10" s="418"/>
      <c r="H10" s="418"/>
      <c r="I10" s="418"/>
      <c r="J10" s="87"/>
      <c r="K10" s="19"/>
      <c r="L10" s="19"/>
      <c r="M10" s="19"/>
      <c r="N10" s="19"/>
      <c r="O10" s="19"/>
    </row>
    <row r="11" spans="1:15" ht="13.5" customHeight="1">
      <c r="A11" s="45"/>
      <c r="B11" s="26" t="s">
        <v>105</v>
      </c>
      <c r="C11" s="416"/>
      <c r="D11" s="416"/>
      <c r="E11" s="416"/>
      <c r="F11" s="416"/>
      <c r="G11" s="416"/>
      <c r="H11" s="416"/>
      <c r="I11" s="416"/>
      <c r="J11" s="87"/>
      <c r="K11" s="19"/>
      <c r="L11" s="19"/>
      <c r="M11" s="19"/>
      <c r="N11" s="19"/>
      <c r="O11" s="19"/>
    </row>
    <row r="12" spans="1:15" ht="13.5" customHeight="1">
      <c r="A12" s="45"/>
      <c r="B12" s="26" t="s">
        <v>106</v>
      </c>
      <c r="C12" s="416"/>
      <c r="D12" s="416"/>
      <c r="E12" s="416"/>
      <c r="F12" s="416"/>
      <c r="G12" s="416"/>
      <c r="H12" s="416"/>
      <c r="I12" s="416"/>
      <c r="J12" s="87"/>
      <c r="K12" s="19"/>
      <c r="L12" s="19"/>
      <c r="M12" s="19"/>
      <c r="N12" s="19"/>
      <c r="O12" s="19"/>
    </row>
    <row r="13" spans="1:15" ht="13.5" customHeight="1">
      <c r="A13" s="45"/>
      <c r="B13" s="26" t="s">
        <v>107</v>
      </c>
      <c r="C13" s="419"/>
      <c r="D13" s="420"/>
      <c r="E13" s="421"/>
      <c r="F13" s="421"/>
      <c r="G13" s="421"/>
      <c r="H13" s="421"/>
      <c r="I13" s="422"/>
      <c r="J13" s="87"/>
      <c r="K13" s="19"/>
      <c r="L13" s="19"/>
      <c r="M13" s="19"/>
      <c r="N13" s="19"/>
      <c r="O13" s="19"/>
    </row>
    <row r="14" spans="1:15" ht="13.5" customHeight="1">
      <c r="A14" s="45"/>
      <c r="B14" s="26" t="s">
        <v>108</v>
      </c>
      <c r="C14" s="416"/>
      <c r="D14" s="416"/>
      <c r="E14" s="416"/>
      <c r="F14" s="416"/>
      <c r="G14" s="416"/>
      <c r="H14" s="416"/>
      <c r="I14" s="416"/>
      <c r="J14" s="87"/>
      <c r="K14" s="19"/>
      <c r="L14" s="19"/>
      <c r="M14" s="19"/>
      <c r="N14" s="19"/>
      <c r="O14" s="19"/>
    </row>
    <row r="15" spans="1:15" ht="13.5" customHeight="1">
      <c r="A15" s="45"/>
      <c r="B15" s="26" t="s">
        <v>109</v>
      </c>
      <c r="C15" s="416"/>
      <c r="D15" s="416"/>
      <c r="E15" s="416"/>
      <c r="F15" s="416"/>
      <c r="G15" s="416"/>
      <c r="H15" s="416"/>
      <c r="I15" s="416"/>
      <c r="J15" s="87"/>
      <c r="K15" s="19"/>
      <c r="L15" s="19"/>
      <c r="M15" s="19"/>
      <c r="N15" s="19"/>
      <c r="O15" s="19"/>
    </row>
    <row r="16" spans="1:15" ht="13.5" customHeight="1">
      <c r="A16" s="19"/>
      <c r="B16" s="100"/>
      <c r="C16" s="100"/>
      <c r="D16" s="100"/>
      <c r="E16" s="100"/>
      <c r="F16" s="100"/>
      <c r="G16" s="100"/>
      <c r="H16" s="100"/>
      <c r="I16" s="100"/>
      <c r="J16" s="19"/>
      <c r="K16" s="19"/>
      <c r="L16" s="19"/>
      <c r="M16" s="19"/>
      <c r="N16" s="19"/>
      <c r="O16" s="19"/>
    </row>
    <row r="17" spans="1:15" ht="13.5" customHeight="1">
      <c r="A17" s="19"/>
      <c r="B17" s="19"/>
      <c r="C17" s="19"/>
      <c r="D17" s="19"/>
      <c r="E17" s="19"/>
      <c r="F17" s="19"/>
      <c r="G17" s="19"/>
      <c r="H17" s="19"/>
      <c r="I17" s="19"/>
      <c r="J17" s="19"/>
      <c r="K17" s="19"/>
      <c r="L17" s="19"/>
      <c r="M17" s="19"/>
      <c r="N17" s="19"/>
      <c r="O17" s="19"/>
    </row>
    <row r="18" spans="1:15" ht="13.5" customHeight="1">
      <c r="A18" s="19"/>
      <c r="B18" s="417"/>
      <c r="C18" s="417"/>
      <c r="D18" s="417"/>
      <c r="E18" s="417"/>
      <c r="F18" s="417"/>
      <c r="G18" s="417"/>
      <c r="H18" s="417"/>
      <c r="I18" s="417"/>
      <c r="J18" s="19"/>
      <c r="K18" s="19"/>
      <c r="L18" s="19"/>
      <c r="M18" s="19"/>
      <c r="N18" s="19"/>
      <c r="O18" s="19"/>
    </row>
    <row r="19" spans="1:15" ht="13.5" customHeight="1">
      <c r="A19" s="19"/>
      <c r="B19" s="19"/>
      <c r="C19" s="19"/>
      <c r="D19" s="19"/>
      <c r="E19" s="19"/>
      <c r="F19" s="19"/>
      <c r="G19" s="19"/>
      <c r="H19" s="19"/>
      <c r="I19" s="19"/>
      <c r="J19" s="19"/>
      <c r="K19" s="19"/>
      <c r="L19" s="19"/>
      <c r="M19" s="19"/>
      <c r="N19" s="19"/>
      <c r="O19" s="19"/>
    </row>
    <row r="20" spans="1:15" ht="13.5" customHeight="1">
      <c r="A20" s="19"/>
      <c r="B20" s="44"/>
      <c r="C20" s="44"/>
      <c r="D20" s="44"/>
      <c r="E20" s="44"/>
      <c r="F20" s="44"/>
      <c r="G20" s="44"/>
      <c r="H20" s="44"/>
      <c r="I20" s="44"/>
      <c r="J20" s="19"/>
      <c r="K20" s="19"/>
      <c r="L20" s="19"/>
      <c r="M20" s="19"/>
      <c r="N20" s="19"/>
      <c r="O20" s="19"/>
    </row>
    <row r="21" spans="1:15" ht="13.5" customHeight="1">
      <c r="A21" s="45"/>
      <c r="B21" s="26" t="s">
        <v>104</v>
      </c>
      <c r="C21" s="418"/>
      <c r="D21" s="418"/>
      <c r="E21" s="418"/>
      <c r="F21" s="418"/>
      <c r="G21" s="418"/>
      <c r="H21" s="418"/>
      <c r="I21" s="418"/>
      <c r="J21" s="87"/>
      <c r="K21" s="19"/>
      <c r="L21" s="19"/>
      <c r="M21" s="19"/>
      <c r="N21" s="19"/>
      <c r="O21" s="19"/>
    </row>
    <row r="22" spans="1:15" ht="13.5" customHeight="1">
      <c r="A22" s="45"/>
      <c r="B22" s="26" t="s">
        <v>105</v>
      </c>
      <c r="C22" s="416"/>
      <c r="D22" s="416"/>
      <c r="E22" s="416"/>
      <c r="F22" s="416"/>
      <c r="G22" s="416"/>
      <c r="H22" s="416"/>
      <c r="I22" s="416"/>
      <c r="J22" s="87"/>
      <c r="K22" s="19"/>
      <c r="L22" s="19"/>
      <c r="M22" s="19"/>
      <c r="N22" s="19"/>
      <c r="O22" s="19"/>
    </row>
    <row r="23" spans="1:15" ht="13.5" customHeight="1">
      <c r="A23" s="45"/>
      <c r="B23" s="26" t="s">
        <v>106</v>
      </c>
      <c r="C23" s="416"/>
      <c r="D23" s="416"/>
      <c r="E23" s="416"/>
      <c r="F23" s="416"/>
      <c r="G23" s="416"/>
      <c r="H23" s="416"/>
      <c r="I23" s="416"/>
      <c r="J23" s="87"/>
      <c r="K23" s="19"/>
      <c r="L23" s="19"/>
      <c r="M23" s="19"/>
      <c r="N23" s="19"/>
      <c r="O23" s="19"/>
    </row>
    <row r="24" spans="1:15" ht="13.5" customHeight="1">
      <c r="A24" s="45"/>
      <c r="B24" s="26" t="s">
        <v>107</v>
      </c>
      <c r="C24" s="419"/>
      <c r="D24" s="419"/>
      <c r="E24" s="419"/>
      <c r="F24" s="419"/>
      <c r="G24" s="419"/>
      <c r="H24" s="419"/>
      <c r="I24" s="419"/>
      <c r="J24" s="87"/>
      <c r="K24" s="19"/>
      <c r="L24" s="19"/>
      <c r="M24" s="19"/>
      <c r="N24" s="19"/>
      <c r="O24" s="19"/>
    </row>
    <row r="25" spans="1:15" ht="13.5" customHeight="1">
      <c r="A25" s="45"/>
      <c r="B25" s="26" t="s">
        <v>108</v>
      </c>
      <c r="C25" s="416"/>
      <c r="D25" s="416"/>
      <c r="E25" s="416"/>
      <c r="F25" s="416"/>
      <c r="G25" s="416"/>
      <c r="H25" s="416"/>
      <c r="I25" s="416"/>
      <c r="J25" s="87"/>
      <c r="K25" s="19"/>
      <c r="L25" s="19"/>
      <c r="M25" s="19"/>
      <c r="N25" s="19"/>
      <c r="O25" s="19"/>
    </row>
    <row r="26" spans="1:15" ht="13.5" customHeight="1">
      <c r="A26" s="45"/>
      <c r="B26" s="26" t="s">
        <v>109</v>
      </c>
      <c r="C26" s="416"/>
      <c r="D26" s="416"/>
      <c r="E26" s="416"/>
      <c r="F26" s="416"/>
      <c r="G26" s="416"/>
      <c r="H26" s="416"/>
      <c r="I26" s="416"/>
      <c r="J26" s="87"/>
      <c r="K26" s="19"/>
      <c r="L26" s="19"/>
      <c r="M26" s="19"/>
      <c r="N26" s="19"/>
      <c r="O26" s="19"/>
    </row>
  </sheetData>
  <mergeCells count="16">
    <mergeCell ref="C23:I23"/>
    <mergeCell ref="C24:I24"/>
    <mergeCell ref="C25:I25"/>
    <mergeCell ref="C26:I26"/>
    <mergeCell ref="C13:I13"/>
    <mergeCell ref="C14:I14"/>
    <mergeCell ref="C15:I15"/>
    <mergeCell ref="B18:I18"/>
    <mergeCell ref="C21:I21"/>
    <mergeCell ref="C22:I22"/>
    <mergeCell ref="C12:I12"/>
    <mergeCell ref="B4:I4"/>
    <mergeCell ref="B5:I5"/>
    <mergeCell ref="B8:I8"/>
    <mergeCell ref="C10:I10"/>
    <mergeCell ref="C11:I11"/>
  </mergeCells>
  <conditionalFormatting sqref="C13:I13 C24:I24">
    <cfRule type="cellIs" dxfId="0" priority="1" stopIfTrue="1" operator="lessThan">
      <formula>0</formula>
    </cfRule>
  </conditionalFormatting>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4"/>
  <sheetViews>
    <sheetView showGridLines="0" tabSelected="1" workbookViewId="0">
      <selection activeCell="K4" sqref="K4"/>
    </sheetView>
  </sheetViews>
  <sheetFormatPr baseColWidth="10" defaultColWidth="8.83203125" defaultRowHeight="14.5" customHeight="1"/>
  <cols>
    <col min="1" max="3" width="8.83203125" style="4" customWidth="1"/>
    <col min="4" max="4" width="37.6640625" style="4" customWidth="1"/>
    <col min="5" max="5" width="15.1640625" style="4" customWidth="1"/>
    <col min="6" max="8" width="8.83203125" style="4" customWidth="1"/>
    <col min="9" max="9" width="14.5" style="4" customWidth="1"/>
    <col min="10" max="10" width="13.5" style="4" customWidth="1"/>
    <col min="11" max="11" width="12.1640625" style="4" customWidth="1"/>
    <col min="12" max="12" width="17.1640625" style="4" customWidth="1"/>
    <col min="13" max="13" width="26.83203125" style="4" customWidth="1"/>
    <col min="14" max="14" width="8.83203125" style="4" customWidth="1"/>
    <col min="15" max="16384" width="8.83203125" style="4"/>
  </cols>
  <sheetData>
    <row r="1" spans="1:13" ht="43.5" customHeight="1">
      <c r="A1" s="101" t="s">
        <v>110</v>
      </c>
      <c r="B1" s="101" t="s">
        <v>111</v>
      </c>
      <c r="C1" s="101" t="s">
        <v>112</v>
      </c>
      <c r="D1" s="102" t="s">
        <v>113</v>
      </c>
      <c r="E1" s="103" t="s">
        <v>114</v>
      </c>
      <c r="F1" s="103" t="s">
        <v>115</v>
      </c>
      <c r="G1" s="103" t="s">
        <v>116</v>
      </c>
      <c r="H1" s="101" t="s">
        <v>117</v>
      </c>
      <c r="I1" s="101" t="s">
        <v>118</v>
      </c>
      <c r="J1" s="101" t="s">
        <v>119</v>
      </c>
      <c r="K1" s="104" t="s">
        <v>120</v>
      </c>
      <c r="L1" s="101" t="s">
        <v>121</v>
      </c>
      <c r="M1" s="101" t="s">
        <v>122</v>
      </c>
    </row>
    <row r="2" spans="1:13" ht="16" hidden="1" customHeight="1">
      <c r="A2" s="105">
        <v>1</v>
      </c>
      <c r="B2" s="106" t="s">
        <v>123</v>
      </c>
      <c r="C2" s="26" t="s">
        <v>30</v>
      </c>
      <c r="D2" s="107" t="s">
        <v>124</v>
      </c>
      <c r="E2" s="108"/>
      <c r="F2" s="109"/>
      <c r="G2" s="109"/>
      <c r="H2" s="110"/>
      <c r="I2" s="111">
        <v>1176.5052000000001</v>
      </c>
      <c r="J2" s="112"/>
      <c r="K2" s="109"/>
      <c r="L2" s="109"/>
      <c r="M2" s="109"/>
    </row>
    <row r="3" spans="1:13" ht="16" hidden="1" customHeight="1">
      <c r="A3" s="105">
        <v>2</v>
      </c>
      <c r="B3" s="106" t="s">
        <v>125</v>
      </c>
      <c r="C3" s="26" t="s">
        <v>30</v>
      </c>
      <c r="D3" s="107" t="s">
        <v>124</v>
      </c>
      <c r="E3" s="108"/>
      <c r="F3" s="109"/>
      <c r="G3" s="109"/>
      <c r="H3" s="110"/>
      <c r="I3" s="111">
        <v>1703.51064</v>
      </c>
      <c r="J3" s="112"/>
      <c r="K3" s="109"/>
      <c r="L3" s="109"/>
      <c r="M3" s="109"/>
    </row>
    <row r="4" spans="1:13" ht="15.5" customHeight="1">
      <c r="A4" s="113">
        <v>3</v>
      </c>
      <c r="B4" s="106" t="s">
        <v>126</v>
      </c>
      <c r="C4" s="114" t="s">
        <v>30</v>
      </c>
      <c r="D4" s="115" t="s">
        <v>127</v>
      </c>
      <c r="E4" s="116">
        <v>45418</v>
      </c>
      <c r="F4" s="117" t="s">
        <v>128</v>
      </c>
      <c r="G4" s="118">
        <v>2024</v>
      </c>
      <c r="H4" s="26" t="s">
        <v>129</v>
      </c>
      <c r="I4" s="119">
        <v>1187.5899999999999</v>
      </c>
      <c r="J4" s="89">
        <v>33809524</v>
      </c>
      <c r="K4" s="120">
        <v>10000000</v>
      </c>
      <c r="L4" s="121">
        <f>J4-K4</f>
        <v>23809524</v>
      </c>
      <c r="M4" s="100"/>
    </row>
    <row r="5" spans="1:13" ht="15.5" hidden="1" customHeight="1">
      <c r="A5" s="122">
        <v>4</v>
      </c>
      <c r="B5" s="106" t="s">
        <v>130</v>
      </c>
      <c r="C5" s="123" t="s">
        <v>30</v>
      </c>
      <c r="D5" s="124" t="s">
        <v>124</v>
      </c>
      <c r="E5" s="108"/>
      <c r="F5" s="19"/>
      <c r="G5" s="19"/>
      <c r="H5" s="110"/>
      <c r="I5" s="111">
        <v>1703.51</v>
      </c>
      <c r="J5" s="112"/>
      <c r="K5" s="19"/>
      <c r="L5" s="19"/>
      <c r="M5" s="19"/>
    </row>
    <row r="6" spans="1:13" ht="15.5" hidden="1" customHeight="1">
      <c r="A6" s="122">
        <v>5</v>
      </c>
      <c r="B6" s="106" t="s">
        <v>131</v>
      </c>
      <c r="C6" s="123" t="s">
        <v>30</v>
      </c>
      <c r="D6" s="124" t="s">
        <v>124</v>
      </c>
      <c r="E6" s="108"/>
      <c r="F6" s="19"/>
      <c r="G6" s="19"/>
      <c r="H6" s="110"/>
      <c r="I6" s="111">
        <v>760.69</v>
      </c>
      <c r="J6" s="112"/>
      <c r="K6" s="19"/>
      <c r="L6" s="19"/>
      <c r="M6" s="19"/>
    </row>
    <row r="7" spans="1:13" ht="15.5" hidden="1" customHeight="1">
      <c r="A7" s="122">
        <v>6</v>
      </c>
      <c r="B7" s="106" t="s">
        <v>132</v>
      </c>
      <c r="C7" s="123" t="s">
        <v>59</v>
      </c>
      <c r="D7" s="124" t="s">
        <v>124</v>
      </c>
      <c r="E7" s="108"/>
      <c r="F7" s="19"/>
      <c r="G7" s="19"/>
      <c r="H7" s="110"/>
      <c r="I7" s="111">
        <v>854.34</v>
      </c>
      <c r="J7" s="112"/>
      <c r="K7" s="19"/>
      <c r="L7" s="19"/>
      <c r="M7" s="19"/>
    </row>
    <row r="8" spans="1:13" ht="15.5" hidden="1" customHeight="1">
      <c r="A8" s="122">
        <v>7</v>
      </c>
      <c r="B8" s="106" t="s">
        <v>133</v>
      </c>
      <c r="C8" s="123" t="s">
        <v>59</v>
      </c>
      <c r="D8" s="124" t="s">
        <v>134</v>
      </c>
      <c r="E8" s="108"/>
      <c r="F8" s="19"/>
      <c r="G8" s="19"/>
      <c r="H8" s="110"/>
      <c r="I8" s="111">
        <v>630.44748000000004</v>
      </c>
      <c r="J8" s="112"/>
      <c r="K8" s="19"/>
      <c r="L8" s="19"/>
      <c r="M8" s="19"/>
    </row>
    <row r="9" spans="1:13" ht="15.5" hidden="1" customHeight="1">
      <c r="A9" s="122">
        <v>8</v>
      </c>
      <c r="B9" s="106" t="s">
        <v>135</v>
      </c>
      <c r="C9" s="123" t="s">
        <v>59</v>
      </c>
      <c r="D9" s="124" t="s">
        <v>134</v>
      </c>
      <c r="E9" s="108"/>
      <c r="F9" s="19"/>
      <c r="G9" s="19"/>
      <c r="H9" s="110"/>
      <c r="I9" s="111">
        <v>620.65</v>
      </c>
      <c r="J9" s="112"/>
      <c r="K9" s="19"/>
      <c r="L9" s="19"/>
      <c r="M9" s="19"/>
    </row>
    <row r="10" spans="1:13" ht="15.5" hidden="1" customHeight="1">
      <c r="A10" s="122">
        <v>9</v>
      </c>
      <c r="B10" s="106" t="s">
        <v>136</v>
      </c>
      <c r="C10" s="123" t="s">
        <v>59</v>
      </c>
      <c r="D10" s="124" t="s">
        <v>134</v>
      </c>
      <c r="E10" s="108"/>
      <c r="F10" s="19"/>
      <c r="G10" s="19"/>
      <c r="H10" s="110"/>
      <c r="I10" s="111">
        <v>802.34856000000002</v>
      </c>
      <c r="J10" s="112"/>
      <c r="K10" s="19"/>
      <c r="L10" s="19"/>
      <c r="M10" s="19"/>
    </row>
    <row r="11" spans="1:13" ht="15.5" hidden="1" customHeight="1">
      <c r="A11" s="122">
        <v>10</v>
      </c>
      <c r="B11" s="106" t="s">
        <v>137</v>
      </c>
      <c r="C11" s="123" t="s">
        <v>30</v>
      </c>
      <c r="D11" s="125" t="s">
        <v>124</v>
      </c>
      <c r="E11" s="108"/>
      <c r="F11" s="19"/>
      <c r="G11" s="19"/>
      <c r="H11" s="110"/>
      <c r="I11" s="111">
        <v>752.51</v>
      </c>
      <c r="J11" s="112"/>
      <c r="K11" s="19"/>
      <c r="L11" s="19"/>
      <c r="M11" s="19"/>
    </row>
    <row r="12" spans="1:13" ht="15.5" hidden="1" customHeight="1">
      <c r="A12" s="122">
        <v>11</v>
      </c>
      <c r="B12" s="106" t="s">
        <v>138</v>
      </c>
      <c r="C12" s="123" t="s">
        <v>30</v>
      </c>
      <c r="D12" s="124" t="s">
        <v>134</v>
      </c>
      <c r="E12" s="108"/>
      <c r="F12" s="19"/>
      <c r="G12" s="19"/>
      <c r="H12" s="110"/>
      <c r="I12" s="111">
        <v>752.51124000000004</v>
      </c>
      <c r="J12" s="112"/>
      <c r="K12" s="19"/>
      <c r="L12" s="19"/>
      <c r="M12" s="19"/>
    </row>
    <row r="13" spans="1:13" ht="15.5" hidden="1" customHeight="1">
      <c r="A13" s="122">
        <v>12</v>
      </c>
      <c r="B13" s="106" t="s">
        <v>139</v>
      </c>
      <c r="C13" s="123" t="s">
        <v>30</v>
      </c>
      <c r="D13" s="124" t="s">
        <v>134</v>
      </c>
      <c r="E13" s="108"/>
      <c r="F13" s="19"/>
      <c r="G13" s="19"/>
      <c r="H13" s="110"/>
      <c r="I13" s="111">
        <v>752.51124000000004</v>
      </c>
      <c r="J13" s="112"/>
      <c r="K13" s="19"/>
      <c r="L13" s="19"/>
      <c r="M13" s="19"/>
    </row>
    <row r="14" spans="1:13" ht="15.5" hidden="1" customHeight="1">
      <c r="A14" s="122">
        <v>13</v>
      </c>
      <c r="B14" s="106" t="s">
        <v>140</v>
      </c>
      <c r="C14" s="123" t="s">
        <v>30</v>
      </c>
      <c r="D14" s="124" t="s">
        <v>124</v>
      </c>
      <c r="E14" s="108"/>
      <c r="F14" s="19"/>
      <c r="G14" s="19"/>
      <c r="H14" s="110"/>
      <c r="I14" s="111">
        <v>760.69</v>
      </c>
      <c r="J14" s="112"/>
      <c r="K14" s="19"/>
      <c r="L14" s="19"/>
      <c r="M14" s="19"/>
    </row>
    <row r="15" spans="1:13" ht="15.5" hidden="1" customHeight="1">
      <c r="A15" s="122">
        <v>14</v>
      </c>
      <c r="B15" s="106" t="s">
        <v>141</v>
      </c>
      <c r="C15" s="123" t="s">
        <v>59</v>
      </c>
      <c r="D15" s="124" t="s">
        <v>134</v>
      </c>
      <c r="E15" s="108"/>
      <c r="F15" s="19"/>
      <c r="G15" s="19"/>
      <c r="H15" s="110"/>
      <c r="I15" s="111">
        <v>854.34</v>
      </c>
      <c r="J15" s="112"/>
      <c r="K15" s="19"/>
      <c r="L15" s="19"/>
      <c r="M15" s="19"/>
    </row>
    <row r="16" spans="1:13" ht="15.5" hidden="1" customHeight="1">
      <c r="A16" s="122">
        <v>15</v>
      </c>
      <c r="B16" s="106" t="s">
        <v>142</v>
      </c>
      <c r="C16" s="123" t="s">
        <v>59</v>
      </c>
      <c r="D16" s="124" t="s">
        <v>134</v>
      </c>
      <c r="E16" s="108"/>
      <c r="F16" s="19"/>
      <c r="G16" s="19"/>
      <c r="H16" s="110"/>
      <c r="I16" s="111">
        <v>750.35843999999997</v>
      </c>
      <c r="J16" s="112"/>
      <c r="K16" s="19"/>
      <c r="L16" s="19"/>
      <c r="M16" s="19"/>
    </row>
    <row r="17" spans="1:13" ht="15.5" hidden="1" customHeight="1">
      <c r="A17" s="122">
        <v>16</v>
      </c>
      <c r="B17" s="106" t="s">
        <v>143</v>
      </c>
      <c r="C17" s="123" t="s">
        <v>59</v>
      </c>
      <c r="D17" s="124" t="s">
        <v>134</v>
      </c>
      <c r="E17" s="108"/>
      <c r="F17" s="19"/>
      <c r="G17" s="19"/>
      <c r="H17" s="110"/>
      <c r="I17" s="111">
        <v>656.17</v>
      </c>
      <c r="J17" s="112"/>
      <c r="K17" s="19"/>
      <c r="L17" s="19"/>
      <c r="M17" s="19"/>
    </row>
    <row r="18" spans="1:13" ht="15.5" hidden="1" customHeight="1">
      <c r="A18" s="122">
        <v>17</v>
      </c>
      <c r="B18" s="106" t="s">
        <v>144</v>
      </c>
      <c r="C18" s="123" t="s">
        <v>59</v>
      </c>
      <c r="D18" s="124" t="s">
        <v>134</v>
      </c>
      <c r="E18" s="108"/>
      <c r="F18" s="19"/>
      <c r="G18" s="19"/>
      <c r="H18" s="110"/>
      <c r="I18" s="111">
        <v>802.34856000000002</v>
      </c>
      <c r="J18" s="112"/>
      <c r="K18" s="19"/>
      <c r="L18" s="19"/>
      <c r="M18" s="19"/>
    </row>
    <row r="19" spans="1:13" ht="15.5" hidden="1" customHeight="1">
      <c r="A19" s="122">
        <v>18</v>
      </c>
      <c r="B19" s="106" t="s">
        <v>145</v>
      </c>
      <c r="C19" s="123" t="s">
        <v>30</v>
      </c>
      <c r="D19" s="125" t="s">
        <v>124</v>
      </c>
      <c r="E19" s="108"/>
      <c r="F19" s="19"/>
      <c r="G19" s="19"/>
      <c r="H19" s="110"/>
      <c r="I19" s="111">
        <v>752.51124000000004</v>
      </c>
      <c r="J19" s="112"/>
      <c r="K19" s="19"/>
      <c r="L19" s="19"/>
      <c r="M19" s="19"/>
    </row>
    <row r="20" spans="1:13" ht="15.5" hidden="1" customHeight="1">
      <c r="A20" s="122">
        <v>19</v>
      </c>
      <c r="B20" s="106" t="s">
        <v>146</v>
      </c>
      <c r="C20" s="123" t="s">
        <v>30</v>
      </c>
      <c r="D20" s="124" t="s">
        <v>134</v>
      </c>
      <c r="E20" s="108"/>
      <c r="F20" s="19"/>
      <c r="G20" s="19"/>
      <c r="H20" s="110"/>
      <c r="I20" s="111">
        <v>752.51124000000004</v>
      </c>
      <c r="J20" s="112"/>
      <c r="K20" s="19"/>
      <c r="L20" s="19"/>
      <c r="M20" s="19"/>
    </row>
    <row r="21" spans="1:13" ht="15.5" hidden="1" customHeight="1">
      <c r="A21" s="122">
        <v>20</v>
      </c>
      <c r="B21" s="106" t="s">
        <v>147</v>
      </c>
      <c r="C21" s="123" t="s">
        <v>30</v>
      </c>
      <c r="D21" s="124" t="s">
        <v>134</v>
      </c>
      <c r="E21" s="108"/>
      <c r="F21" s="19"/>
      <c r="G21" s="19"/>
      <c r="H21" s="110"/>
      <c r="I21" s="111">
        <v>752.51124000000004</v>
      </c>
      <c r="J21" s="112"/>
      <c r="K21" s="19"/>
      <c r="L21" s="19"/>
      <c r="M21" s="19"/>
    </row>
    <row r="22" spans="1:13" ht="15.5" hidden="1" customHeight="1">
      <c r="A22" s="122">
        <v>21</v>
      </c>
      <c r="B22" s="106" t="s">
        <v>148</v>
      </c>
      <c r="C22" s="123" t="s">
        <v>30</v>
      </c>
      <c r="D22" s="125" t="s">
        <v>124</v>
      </c>
      <c r="E22" s="108"/>
      <c r="F22" s="19"/>
      <c r="G22" s="19"/>
      <c r="H22" s="110"/>
      <c r="I22" s="111">
        <v>760.69</v>
      </c>
      <c r="J22" s="112"/>
      <c r="K22" s="19"/>
      <c r="L22" s="19"/>
      <c r="M22" s="19"/>
    </row>
    <row r="23" spans="1:13" ht="15.5" hidden="1" customHeight="1">
      <c r="A23" s="122">
        <v>22</v>
      </c>
      <c r="B23" s="106" t="s">
        <v>149</v>
      </c>
      <c r="C23" s="123" t="s">
        <v>59</v>
      </c>
      <c r="D23" s="124" t="s">
        <v>134</v>
      </c>
      <c r="E23" s="108"/>
      <c r="F23" s="19"/>
      <c r="G23" s="19"/>
      <c r="H23" s="110"/>
      <c r="I23" s="111">
        <v>854.34</v>
      </c>
      <c r="J23" s="112"/>
      <c r="K23" s="19"/>
      <c r="L23" s="19"/>
      <c r="M23" s="19"/>
    </row>
    <row r="24" spans="1:13" ht="15.5" hidden="1" customHeight="1">
      <c r="A24" s="122">
        <v>23</v>
      </c>
      <c r="B24" s="106" t="s">
        <v>150</v>
      </c>
      <c r="C24" s="123" t="s">
        <v>59</v>
      </c>
      <c r="D24" s="124" t="s">
        <v>134</v>
      </c>
      <c r="E24" s="108"/>
      <c r="F24" s="19"/>
      <c r="G24" s="19"/>
      <c r="H24" s="110"/>
      <c r="I24" s="111">
        <v>750.35843999999997</v>
      </c>
      <c r="J24" s="112"/>
      <c r="K24" s="19"/>
      <c r="L24" s="19"/>
      <c r="M24" s="19"/>
    </row>
    <row r="25" spans="1:13" ht="15.5" hidden="1" customHeight="1">
      <c r="A25" s="122">
        <v>24</v>
      </c>
      <c r="B25" s="106" t="s">
        <v>151</v>
      </c>
      <c r="C25" s="123" t="s">
        <v>59</v>
      </c>
      <c r="D25" s="124" t="s">
        <v>134</v>
      </c>
      <c r="E25" s="108"/>
      <c r="F25" s="19"/>
      <c r="G25" s="19"/>
      <c r="H25" s="110"/>
      <c r="I25" s="111">
        <v>656.17</v>
      </c>
      <c r="J25" s="112"/>
      <c r="K25" s="19"/>
      <c r="L25" s="19"/>
      <c r="M25" s="19"/>
    </row>
    <row r="26" spans="1:13" ht="15.5" hidden="1" customHeight="1">
      <c r="A26" s="122">
        <v>25</v>
      </c>
      <c r="B26" s="106" t="s">
        <v>152</v>
      </c>
      <c r="C26" s="123" t="s">
        <v>59</v>
      </c>
      <c r="D26" s="124" t="s">
        <v>134</v>
      </c>
      <c r="E26" s="108"/>
      <c r="F26" s="19"/>
      <c r="G26" s="19"/>
      <c r="H26" s="110"/>
      <c r="I26" s="111">
        <v>802.34856000000002</v>
      </c>
      <c r="J26" s="112"/>
      <c r="K26" s="19"/>
      <c r="L26" s="19"/>
      <c r="M26" s="19"/>
    </row>
    <row r="27" spans="1:13" ht="15.5" customHeight="1">
      <c r="A27" s="122">
        <v>26</v>
      </c>
      <c r="B27" s="106" t="s">
        <v>153</v>
      </c>
      <c r="C27" s="123" t="s">
        <v>30</v>
      </c>
      <c r="D27" s="125" t="s">
        <v>124</v>
      </c>
      <c r="E27" s="116">
        <v>45414</v>
      </c>
      <c r="F27" s="126" t="s">
        <v>128</v>
      </c>
      <c r="G27" s="127">
        <v>2024</v>
      </c>
      <c r="H27" s="26" t="s">
        <v>154</v>
      </c>
      <c r="I27" s="119">
        <v>752.51124000000004</v>
      </c>
      <c r="J27" s="89">
        <v>22380952</v>
      </c>
      <c r="K27" s="128">
        <f>J27*10%</f>
        <v>2238095.2000000002</v>
      </c>
      <c r="L27" s="91">
        <f>J27-K27</f>
        <v>20142856.800000001</v>
      </c>
      <c r="M27" s="19"/>
    </row>
    <row r="28" spans="1:13" ht="15.5" hidden="1" customHeight="1">
      <c r="A28" s="122">
        <v>27</v>
      </c>
      <c r="B28" s="106" t="s">
        <v>155</v>
      </c>
      <c r="C28" s="123" t="s">
        <v>30</v>
      </c>
      <c r="D28" s="124" t="s">
        <v>134</v>
      </c>
      <c r="E28" s="108"/>
      <c r="F28" s="19"/>
      <c r="G28" s="19"/>
      <c r="H28" s="110"/>
      <c r="I28" s="111">
        <v>752.51124000000004</v>
      </c>
      <c r="J28" s="112"/>
      <c r="K28" s="19"/>
      <c r="L28" s="19"/>
      <c r="M28" s="19"/>
    </row>
    <row r="29" spans="1:13" ht="15.5" hidden="1" customHeight="1">
      <c r="A29" s="122">
        <v>28</v>
      </c>
      <c r="B29" s="106" t="s">
        <v>156</v>
      </c>
      <c r="C29" s="123" t="s">
        <v>30</v>
      </c>
      <c r="D29" s="124" t="s">
        <v>134</v>
      </c>
      <c r="E29" s="108"/>
      <c r="F29" s="19"/>
      <c r="G29" s="19"/>
      <c r="H29" s="110"/>
      <c r="I29" s="111">
        <v>752.51124000000004</v>
      </c>
      <c r="J29" s="112"/>
      <c r="K29" s="19"/>
      <c r="L29" s="19"/>
      <c r="M29" s="19"/>
    </row>
    <row r="30" spans="1:13" ht="15.5" hidden="1" customHeight="1">
      <c r="A30" s="122">
        <v>29</v>
      </c>
      <c r="B30" s="106" t="s">
        <v>157</v>
      </c>
      <c r="C30" s="123" t="s">
        <v>30</v>
      </c>
      <c r="D30" s="125" t="s">
        <v>124</v>
      </c>
      <c r="E30" s="108"/>
      <c r="F30" s="19"/>
      <c r="G30" s="19"/>
      <c r="H30" s="110"/>
      <c r="I30" s="111">
        <v>760.69</v>
      </c>
      <c r="J30" s="112"/>
      <c r="K30" s="19"/>
      <c r="L30" s="19"/>
      <c r="M30" s="19"/>
    </row>
    <row r="31" spans="1:13" ht="15.5" hidden="1" customHeight="1">
      <c r="A31" s="122">
        <v>30</v>
      </c>
      <c r="B31" s="106" t="s">
        <v>158</v>
      </c>
      <c r="C31" s="123" t="s">
        <v>59</v>
      </c>
      <c r="D31" s="124" t="s">
        <v>134</v>
      </c>
      <c r="E31" s="108"/>
      <c r="F31" s="19"/>
      <c r="G31" s="19"/>
      <c r="H31" s="110"/>
      <c r="I31" s="111">
        <v>854.34</v>
      </c>
      <c r="J31" s="112"/>
      <c r="K31" s="19"/>
      <c r="L31" s="19"/>
      <c r="M31" s="19"/>
    </row>
    <row r="32" spans="1:13" ht="15.5" hidden="1" customHeight="1">
      <c r="A32" s="122">
        <v>31</v>
      </c>
      <c r="B32" s="106" t="s">
        <v>159</v>
      </c>
      <c r="C32" s="123" t="s">
        <v>59</v>
      </c>
      <c r="D32" s="124" t="s">
        <v>134</v>
      </c>
      <c r="E32" s="108"/>
      <c r="F32" s="19"/>
      <c r="G32" s="19"/>
      <c r="H32" s="110"/>
      <c r="I32" s="111">
        <v>750.35843999999997</v>
      </c>
      <c r="J32" s="112"/>
      <c r="K32" s="19"/>
      <c r="L32" s="19"/>
      <c r="M32" s="19"/>
    </row>
    <row r="33" spans="1:13" ht="15.5" hidden="1" customHeight="1">
      <c r="A33" s="122">
        <v>32</v>
      </c>
      <c r="B33" s="106" t="s">
        <v>160</v>
      </c>
      <c r="C33" s="123" t="s">
        <v>59</v>
      </c>
      <c r="D33" s="124" t="s">
        <v>134</v>
      </c>
      <c r="E33" s="108"/>
      <c r="F33" s="19"/>
      <c r="G33" s="19"/>
      <c r="H33" s="110"/>
      <c r="I33" s="111">
        <v>750.35843999999997</v>
      </c>
      <c r="J33" s="112"/>
      <c r="K33" s="19"/>
      <c r="L33" s="19"/>
      <c r="M33" s="19"/>
    </row>
    <row r="34" spans="1:13" ht="15.5" hidden="1" customHeight="1">
      <c r="A34" s="122">
        <v>33</v>
      </c>
      <c r="B34" s="106" t="s">
        <v>161</v>
      </c>
      <c r="C34" s="123" t="s">
        <v>59</v>
      </c>
      <c r="D34" s="124" t="s">
        <v>134</v>
      </c>
      <c r="E34" s="108"/>
      <c r="F34" s="19"/>
      <c r="G34" s="19"/>
      <c r="H34" s="110"/>
      <c r="I34" s="111">
        <v>802.34856000000002</v>
      </c>
      <c r="J34" s="112"/>
      <c r="K34" s="19"/>
      <c r="L34" s="19"/>
      <c r="M34" s="19"/>
    </row>
    <row r="35" spans="1:13" ht="15.5" customHeight="1">
      <c r="A35" s="122">
        <v>34</v>
      </c>
      <c r="B35" s="106" t="s">
        <v>162</v>
      </c>
      <c r="C35" s="123" t="s">
        <v>30</v>
      </c>
      <c r="D35" s="125" t="s">
        <v>124</v>
      </c>
      <c r="E35" s="116">
        <v>45420</v>
      </c>
      <c r="F35" s="126" t="s">
        <v>128</v>
      </c>
      <c r="G35" s="127">
        <v>2024</v>
      </c>
      <c r="H35" s="26" t="s">
        <v>163</v>
      </c>
      <c r="I35" s="119">
        <v>752.51124000000004</v>
      </c>
      <c r="J35" s="89">
        <v>23600000</v>
      </c>
      <c r="K35" s="128">
        <f>J35*10%</f>
        <v>2360000</v>
      </c>
      <c r="L35" s="91">
        <f>J35-K35</f>
        <v>21240000</v>
      </c>
      <c r="M35" s="19"/>
    </row>
    <row r="36" spans="1:13" ht="15.5" hidden="1" customHeight="1">
      <c r="A36" s="122">
        <v>35</v>
      </c>
      <c r="B36" s="106" t="s">
        <v>164</v>
      </c>
      <c r="C36" s="123" t="s">
        <v>30</v>
      </c>
      <c r="D36" s="124" t="s">
        <v>134</v>
      </c>
      <c r="E36" s="108"/>
      <c r="F36" s="19"/>
      <c r="G36" s="19"/>
      <c r="H36" s="110"/>
      <c r="I36" s="111">
        <v>752.51124000000004</v>
      </c>
      <c r="J36" s="112"/>
      <c r="K36" s="19"/>
      <c r="L36" s="19"/>
      <c r="M36" s="19"/>
    </row>
    <row r="37" spans="1:13" ht="15.5" hidden="1" customHeight="1">
      <c r="A37" s="122">
        <v>36</v>
      </c>
      <c r="B37" s="106" t="s">
        <v>165</v>
      </c>
      <c r="C37" s="123" t="s">
        <v>30</v>
      </c>
      <c r="D37" s="124" t="s">
        <v>134</v>
      </c>
      <c r="E37" s="108"/>
      <c r="F37" s="19"/>
      <c r="G37" s="19"/>
      <c r="H37" s="110"/>
      <c r="I37" s="111">
        <v>752.51124000000004</v>
      </c>
      <c r="J37" s="112"/>
      <c r="K37" s="19"/>
      <c r="L37" s="19"/>
      <c r="M37" s="19"/>
    </row>
    <row r="38" spans="1:13" ht="15.5" customHeight="1">
      <c r="A38" s="122">
        <v>37</v>
      </c>
      <c r="B38" s="106" t="s">
        <v>166</v>
      </c>
      <c r="C38" s="123" t="s">
        <v>30</v>
      </c>
      <c r="D38" s="125" t="s">
        <v>124</v>
      </c>
      <c r="E38" s="116">
        <v>45420</v>
      </c>
      <c r="F38" s="126" t="s">
        <v>128</v>
      </c>
      <c r="G38" s="127">
        <v>2024</v>
      </c>
      <c r="H38" s="26" t="s">
        <v>167</v>
      </c>
      <c r="I38" s="119">
        <v>760.69</v>
      </c>
      <c r="J38" s="89">
        <v>23851429</v>
      </c>
      <c r="K38" s="128">
        <f>J38*10%</f>
        <v>2385142.9</v>
      </c>
      <c r="L38" s="91">
        <f>J38-K38</f>
        <v>21466286.100000001</v>
      </c>
      <c r="M38" s="19"/>
    </row>
    <row r="39" spans="1:13" ht="15.5" hidden="1" customHeight="1">
      <c r="A39" s="122">
        <v>38</v>
      </c>
      <c r="B39" s="106" t="s">
        <v>168</v>
      </c>
      <c r="C39" s="123" t="s">
        <v>59</v>
      </c>
      <c r="D39" s="124" t="s">
        <v>134</v>
      </c>
      <c r="E39" s="108"/>
      <c r="F39" s="19"/>
      <c r="G39" s="19"/>
      <c r="H39" s="110"/>
      <c r="I39" s="111">
        <v>854.34</v>
      </c>
      <c r="J39" s="112"/>
      <c r="K39" s="19"/>
      <c r="L39" s="19"/>
      <c r="M39" s="19"/>
    </row>
    <row r="40" spans="1:13" ht="15.5" hidden="1" customHeight="1">
      <c r="A40" s="122">
        <v>39</v>
      </c>
      <c r="B40" s="106" t="s">
        <v>169</v>
      </c>
      <c r="C40" s="123" t="s">
        <v>59</v>
      </c>
      <c r="D40" s="124" t="s">
        <v>134</v>
      </c>
      <c r="E40" s="108"/>
      <c r="F40" s="19"/>
      <c r="G40" s="19"/>
      <c r="H40" s="110"/>
      <c r="I40" s="111">
        <v>750.35843999999997</v>
      </c>
      <c r="J40" s="112"/>
      <c r="K40" s="19"/>
      <c r="L40" s="19"/>
      <c r="M40" s="19"/>
    </row>
    <row r="41" spans="1:13" ht="15.5" hidden="1" customHeight="1">
      <c r="A41" s="122">
        <v>40</v>
      </c>
      <c r="B41" s="106" t="s">
        <v>170</v>
      </c>
      <c r="C41" s="123" t="s">
        <v>59</v>
      </c>
      <c r="D41" s="124" t="s">
        <v>134</v>
      </c>
      <c r="E41" s="108"/>
      <c r="F41" s="19"/>
      <c r="G41" s="19"/>
      <c r="H41" s="110"/>
      <c r="I41" s="111">
        <v>750.35843999999997</v>
      </c>
      <c r="J41" s="112"/>
      <c r="K41" s="19"/>
      <c r="L41" s="19"/>
      <c r="M41" s="19"/>
    </row>
    <row r="42" spans="1:13" ht="15.5" hidden="1" customHeight="1">
      <c r="A42" s="122">
        <v>41</v>
      </c>
      <c r="B42" s="106" t="s">
        <v>171</v>
      </c>
      <c r="C42" s="123" t="s">
        <v>59</v>
      </c>
      <c r="D42" s="124" t="s">
        <v>134</v>
      </c>
      <c r="E42" s="108"/>
      <c r="F42" s="19"/>
      <c r="G42" s="19"/>
      <c r="H42" s="110"/>
      <c r="I42" s="111">
        <v>802.34856000000002</v>
      </c>
      <c r="J42" s="112"/>
      <c r="K42" s="19"/>
      <c r="L42" s="19"/>
      <c r="M42" s="19"/>
    </row>
    <row r="43" spans="1:13" ht="15.5" hidden="1" customHeight="1">
      <c r="A43" s="122">
        <v>42</v>
      </c>
      <c r="B43" s="106" t="s">
        <v>172</v>
      </c>
      <c r="C43" s="123" t="s">
        <v>30</v>
      </c>
      <c r="D43" s="125" t="s">
        <v>124</v>
      </c>
      <c r="E43" s="108"/>
      <c r="F43" s="19"/>
      <c r="G43" s="19"/>
      <c r="H43" s="110"/>
      <c r="I43" s="111">
        <v>752.51124000000004</v>
      </c>
      <c r="J43" s="112"/>
      <c r="K43" s="19"/>
      <c r="L43" s="19"/>
      <c r="M43" s="19"/>
    </row>
    <row r="44" spans="1:13" ht="15.5" hidden="1" customHeight="1">
      <c r="A44" s="122">
        <v>43</v>
      </c>
      <c r="B44" s="106" t="s">
        <v>173</v>
      </c>
      <c r="C44" s="123" t="s">
        <v>30</v>
      </c>
      <c r="D44" s="124" t="s">
        <v>134</v>
      </c>
      <c r="E44" s="108"/>
      <c r="F44" s="19"/>
      <c r="G44" s="19"/>
      <c r="H44" s="110"/>
      <c r="I44" s="111">
        <v>752.51124000000004</v>
      </c>
      <c r="J44" s="112"/>
      <c r="K44" s="19"/>
      <c r="L44" s="19"/>
      <c r="M44" s="19"/>
    </row>
    <row r="45" spans="1:13" ht="15.5" hidden="1" customHeight="1">
      <c r="A45" s="122">
        <v>44</v>
      </c>
      <c r="B45" s="106" t="s">
        <v>174</v>
      </c>
      <c r="C45" s="123" t="s">
        <v>30</v>
      </c>
      <c r="D45" s="124" t="s">
        <v>124</v>
      </c>
      <c r="E45" s="108"/>
      <c r="F45" s="19"/>
      <c r="G45" s="19"/>
      <c r="H45" s="110"/>
      <c r="I45" s="111">
        <v>752.51124000000004</v>
      </c>
      <c r="J45" s="112"/>
      <c r="K45" s="19"/>
      <c r="L45" s="19"/>
      <c r="M45" s="19"/>
    </row>
    <row r="46" spans="1:13" ht="15.5" hidden="1" customHeight="1">
      <c r="A46" s="122">
        <v>45</v>
      </c>
      <c r="B46" s="106" t="s">
        <v>175</v>
      </c>
      <c r="C46" s="123" t="s">
        <v>30</v>
      </c>
      <c r="D46" s="124" t="s">
        <v>134</v>
      </c>
      <c r="E46" s="108"/>
      <c r="F46" s="19"/>
      <c r="G46" s="19"/>
      <c r="H46" s="110"/>
      <c r="I46" s="111">
        <v>760.69</v>
      </c>
      <c r="J46" s="112"/>
      <c r="K46" s="19"/>
      <c r="L46" s="19"/>
      <c r="M46" s="19"/>
    </row>
    <row r="47" spans="1:13" ht="15.5" hidden="1" customHeight="1">
      <c r="A47" s="122">
        <v>46</v>
      </c>
      <c r="B47" s="106" t="s">
        <v>176</v>
      </c>
      <c r="C47" s="123" t="s">
        <v>59</v>
      </c>
      <c r="D47" s="124" t="s">
        <v>134</v>
      </c>
      <c r="E47" s="108"/>
      <c r="F47" s="19"/>
      <c r="G47" s="19"/>
      <c r="H47" s="110"/>
      <c r="I47" s="111">
        <v>854.34</v>
      </c>
      <c r="J47" s="112"/>
      <c r="K47" s="19"/>
      <c r="L47" s="19"/>
      <c r="M47" s="19"/>
    </row>
    <row r="48" spans="1:13" ht="15.5" hidden="1" customHeight="1">
      <c r="A48" s="122">
        <v>47</v>
      </c>
      <c r="B48" s="106" t="s">
        <v>177</v>
      </c>
      <c r="C48" s="123" t="s">
        <v>59</v>
      </c>
      <c r="D48" s="124" t="s">
        <v>134</v>
      </c>
      <c r="E48" s="108"/>
      <c r="F48" s="19"/>
      <c r="G48" s="19"/>
      <c r="H48" s="110"/>
      <c r="I48" s="111">
        <v>750.35843999999997</v>
      </c>
      <c r="J48" s="112"/>
      <c r="K48" s="19"/>
      <c r="L48" s="19"/>
      <c r="M48" s="19"/>
    </row>
    <row r="49" spans="1:13" ht="15.5" hidden="1" customHeight="1">
      <c r="A49" s="122">
        <v>48</v>
      </c>
      <c r="B49" s="106" t="s">
        <v>178</v>
      </c>
      <c r="C49" s="123" t="s">
        <v>59</v>
      </c>
      <c r="D49" s="124" t="s">
        <v>124</v>
      </c>
      <c r="E49" s="108"/>
      <c r="F49" s="19"/>
      <c r="G49" s="19"/>
      <c r="H49" s="110"/>
      <c r="I49" s="111">
        <v>750.35843999999997</v>
      </c>
      <c r="J49" s="112"/>
      <c r="K49" s="19"/>
      <c r="L49" s="19"/>
      <c r="M49" s="19"/>
    </row>
    <row r="50" spans="1:13" ht="15.5" hidden="1" customHeight="1">
      <c r="A50" s="122">
        <v>49</v>
      </c>
      <c r="B50" s="106" t="s">
        <v>179</v>
      </c>
      <c r="C50" s="123" t="s">
        <v>59</v>
      </c>
      <c r="D50" s="124" t="s">
        <v>134</v>
      </c>
      <c r="E50" s="108"/>
      <c r="F50" s="19"/>
      <c r="G50" s="19"/>
      <c r="H50" s="110"/>
      <c r="I50" s="111">
        <v>802.34856000000002</v>
      </c>
      <c r="J50" s="112"/>
      <c r="K50" s="19"/>
      <c r="L50" s="19"/>
      <c r="M50" s="19"/>
    </row>
    <row r="51" spans="1:13" ht="15.5" hidden="1" customHeight="1">
      <c r="A51" s="122">
        <v>50</v>
      </c>
      <c r="B51" s="106" t="s">
        <v>180</v>
      </c>
      <c r="C51" s="123" t="s">
        <v>30</v>
      </c>
      <c r="D51" s="129" t="s">
        <v>124</v>
      </c>
      <c r="E51" s="108"/>
      <c r="F51" s="19"/>
      <c r="G51" s="19"/>
      <c r="H51" s="110"/>
      <c r="I51" s="111">
        <v>752.51124000000004</v>
      </c>
      <c r="J51" s="112"/>
      <c r="K51" s="19"/>
      <c r="L51" s="19"/>
      <c r="M51" s="19"/>
    </row>
    <row r="52" spans="1:13" ht="15.5" hidden="1" customHeight="1">
      <c r="A52" s="122">
        <v>51</v>
      </c>
      <c r="B52" s="106" t="s">
        <v>181</v>
      </c>
      <c r="C52" s="123" t="s">
        <v>30</v>
      </c>
      <c r="D52" s="129" t="s">
        <v>134</v>
      </c>
      <c r="E52" s="108"/>
      <c r="F52" s="19"/>
      <c r="G52" s="19"/>
      <c r="H52" s="110"/>
      <c r="I52" s="111">
        <v>893.9502</v>
      </c>
      <c r="J52" s="112"/>
      <c r="K52" s="19"/>
      <c r="L52" s="19"/>
      <c r="M52" s="19"/>
    </row>
    <row r="53" spans="1:13" ht="15.5" hidden="1" customHeight="1">
      <c r="A53" s="122">
        <v>52</v>
      </c>
      <c r="B53" s="106" t="s">
        <v>182</v>
      </c>
      <c r="C53" s="123" t="s">
        <v>30</v>
      </c>
      <c r="D53" s="129" t="s">
        <v>134</v>
      </c>
      <c r="E53" s="108"/>
      <c r="F53" s="19"/>
      <c r="G53" s="19"/>
      <c r="H53" s="110"/>
      <c r="I53" s="111">
        <v>760.69</v>
      </c>
      <c r="J53" s="112"/>
      <c r="K53" s="19"/>
      <c r="L53" s="19"/>
      <c r="M53" s="19"/>
    </row>
    <row r="54" spans="1:13" ht="15.5" hidden="1" customHeight="1">
      <c r="A54" s="122">
        <v>53</v>
      </c>
      <c r="B54" s="106" t="s">
        <v>183</v>
      </c>
      <c r="C54" s="123" t="s">
        <v>59</v>
      </c>
      <c r="D54" s="124" t="s">
        <v>124</v>
      </c>
      <c r="E54" s="108"/>
      <c r="F54" s="19"/>
      <c r="G54" s="19"/>
      <c r="H54" s="110"/>
      <c r="I54" s="111">
        <v>948.2</v>
      </c>
      <c r="J54" s="112"/>
      <c r="K54" s="19"/>
      <c r="L54" s="19"/>
      <c r="M54" s="19"/>
    </row>
    <row r="55" spans="1:13" ht="15.5" hidden="1" customHeight="1">
      <c r="A55" s="122">
        <v>54</v>
      </c>
      <c r="B55" s="106" t="s">
        <v>184</v>
      </c>
      <c r="C55" s="123" t="s">
        <v>59</v>
      </c>
      <c r="D55" s="124" t="s">
        <v>124</v>
      </c>
      <c r="E55" s="108"/>
      <c r="F55" s="19"/>
      <c r="G55" s="19"/>
      <c r="H55" s="110"/>
      <c r="I55" s="111">
        <v>863.17</v>
      </c>
      <c r="J55" s="112"/>
      <c r="K55" s="19"/>
      <c r="L55" s="19"/>
      <c r="M55" s="19"/>
    </row>
    <row r="56" spans="1:13" ht="15.5" customHeight="1">
      <c r="A56" s="122">
        <v>55</v>
      </c>
      <c r="B56" s="106" t="s">
        <v>185</v>
      </c>
      <c r="C56" s="123" t="s">
        <v>59</v>
      </c>
      <c r="D56" s="124" t="s">
        <v>124</v>
      </c>
      <c r="E56" s="116">
        <v>45426</v>
      </c>
      <c r="F56" s="126" t="s">
        <v>128</v>
      </c>
      <c r="G56" s="127">
        <v>2024</v>
      </c>
      <c r="H56" s="26" t="s">
        <v>186</v>
      </c>
      <c r="I56" s="119">
        <v>902.13</v>
      </c>
      <c r="J56" s="89">
        <v>28314286</v>
      </c>
      <c r="K56" s="128">
        <f>J56*10%</f>
        <v>2831428.6</v>
      </c>
      <c r="L56" s="91">
        <f>J56-K56</f>
        <v>25482857.399999999</v>
      </c>
      <c r="M56" s="19"/>
    </row>
    <row r="57" spans="1:13" ht="15.5" hidden="1" customHeight="1">
      <c r="A57" s="122">
        <v>56</v>
      </c>
      <c r="B57" s="106" t="s">
        <v>187</v>
      </c>
      <c r="C57" s="123" t="s">
        <v>30</v>
      </c>
      <c r="D57" s="129" t="s">
        <v>124</v>
      </c>
      <c r="E57" s="108"/>
      <c r="F57" s="19"/>
      <c r="G57" s="19"/>
      <c r="H57" s="110"/>
      <c r="I57" s="111">
        <v>752.51124000000004</v>
      </c>
      <c r="J57" s="112"/>
      <c r="K57" s="19"/>
      <c r="L57" s="19"/>
      <c r="M57" s="19"/>
    </row>
    <row r="58" spans="1:13" ht="15.5" hidden="1" customHeight="1">
      <c r="A58" s="122">
        <v>57</v>
      </c>
      <c r="B58" s="106" t="s">
        <v>188</v>
      </c>
      <c r="C58" s="123" t="s">
        <v>30</v>
      </c>
      <c r="D58" s="129" t="s">
        <v>134</v>
      </c>
      <c r="E58" s="108"/>
      <c r="F58" s="19"/>
      <c r="G58" s="19"/>
      <c r="H58" s="110"/>
      <c r="I58" s="111">
        <v>752.51124000000004</v>
      </c>
      <c r="J58" s="112"/>
      <c r="K58" s="19"/>
      <c r="L58" s="19"/>
      <c r="M58" s="19"/>
    </row>
    <row r="59" spans="1:13" ht="15.5" hidden="1" customHeight="1">
      <c r="A59" s="122">
        <v>58</v>
      </c>
      <c r="B59" s="106" t="s">
        <v>189</v>
      </c>
      <c r="C59" s="123" t="s">
        <v>30</v>
      </c>
      <c r="D59" s="129" t="s">
        <v>134</v>
      </c>
      <c r="E59" s="108"/>
      <c r="F59" s="19"/>
      <c r="G59" s="19"/>
      <c r="H59" s="110"/>
      <c r="I59" s="111">
        <v>752.51124000000004</v>
      </c>
      <c r="J59" s="112"/>
      <c r="K59" s="19"/>
      <c r="L59" s="19"/>
      <c r="M59" s="19"/>
    </row>
    <row r="60" spans="1:13" ht="15.5" customHeight="1">
      <c r="A60" s="122">
        <v>59</v>
      </c>
      <c r="B60" s="106" t="s">
        <v>190</v>
      </c>
      <c r="C60" s="123" t="s">
        <v>30</v>
      </c>
      <c r="D60" s="129" t="s">
        <v>127</v>
      </c>
      <c r="E60" s="116">
        <v>45430</v>
      </c>
      <c r="F60" s="126" t="s">
        <v>128</v>
      </c>
      <c r="G60" s="127">
        <v>2024</v>
      </c>
      <c r="H60" s="26" t="s">
        <v>191</v>
      </c>
      <c r="I60" s="119">
        <v>760.69</v>
      </c>
      <c r="J60" s="89">
        <v>18200000</v>
      </c>
      <c r="K60" s="128">
        <f>J60*10%</f>
        <v>1820000</v>
      </c>
      <c r="L60" s="91">
        <f>J60-K60</f>
        <v>16380000</v>
      </c>
      <c r="M60" s="19"/>
    </row>
    <row r="61" spans="1:13" ht="15.5" hidden="1" customHeight="1">
      <c r="A61" s="122">
        <v>60</v>
      </c>
      <c r="B61" s="106" t="s">
        <v>192</v>
      </c>
      <c r="C61" s="123" t="s">
        <v>59</v>
      </c>
      <c r="D61" s="124" t="s">
        <v>134</v>
      </c>
      <c r="E61" s="108"/>
      <c r="F61" s="19"/>
      <c r="G61" s="19"/>
      <c r="H61" s="110"/>
      <c r="I61" s="111">
        <v>958.1</v>
      </c>
      <c r="J61" s="112"/>
      <c r="K61" s="19"/>
      <c r="L61" s="19"/>
      <c r="M61" s="19"/>
    </row>
    <row r="62" spans="1:13" ht="15.5" hidden="1" customHeight="1">
      <c r="A62" s="122">
        <v>61</v>
      </c>
      <c r="B62" s="106" t="s">
        <v>193</v>
      </c>
      <c r="C62" s="123" t="s">
        <v>59</v>
      </c>
      <c r="D62" s="124" t="s">
        <v>124</v>
      </c>
      <c r="E62" s="108"/>
      <c r="F62" s="19"/>
      <c r="G62" s="19"/>
      <c r="H62" s="110"/>
      <c r="I62" s="111">
        <v>750.35843999999997</v>
      </c>
      <c r="J62" s="112"/>
      <c r="K62" s="19"/>
      <c r="L62" s="19"/>
      <c r="M62" s="19"/>
    </row>
    <row r="63" spans="1:13" ht="15.5" hidden="1" customHeight="1">
      <c r="A63" s="122">
        <v>62</v>
      </c>
      <c r="B63" s="106" t="s">
        <v>194</v>
      </c>
      <c r="C63" s="123" t="s">
        <v>59</v>
      </c>
      <c r="D63" s="124" t="s">
        <v>124</v>
      </c>
      <c r="E63" s="108"/>
      <c r="F63" s="19"/>
      <c r="G63" s="19"/>
      <c r="H63" s="110"/>
      <c r="I63" s="111">
        <v>750.35843999999997</v>
      </c>
      <c r="J63" s="112"/>
      <c r="K63" s="19"/>
      <c r="L63" s="19"/>
      <c r="M63" s="19"/>
    </row>
    <row r="64" spans="1:13" ht="15.5" customHeight="1">
      <c r="A64" s="122">
        <v>63</v>
      </c>
      <c r="B64" s="106" t="s">
        <v>195</v>
      </c>
      <c r="C64" s="123" t="s">
        <v>59</v>
      </c>
      <c r="D64" s="124" t="s">
        <v>124</v>
      </c>
      <c r="E64" s="116">
        <v>45430</v>
      </c>
      <c r="F64" s="126" t="s">
        <v>128</v>
      </c>
      <c r="G64" s="127">
        <v>2024</v>
      </c>
      <c r="H64" s="26" t="s">
        <v>196</v>
      </c>
      <c r="I64" s="119">
        <v>902.13</v>
      </c>
      <c r="J64" s="89">
        <v>28314286</v>
      </c>
      <c r="K64" s="128">
        <f>J64*10%</f>
        <v>2831428.6</v>
      </c>
      <c r="L64" s="91">
        <f>J64-K64</f>
        <v>25482857.399999999</v>
      </c>
      <c r="M64" s="19"/>
    </row>
    <row r="65" spans="1:13" ht="15.5" hidden="1" customHeight="1">
      <c r="A65" s="122">
        <v>64</v>
      </c>
      <c r="B65" s="106" t="s">
        <v>197</v>
      </c>
      <c r="C65" s="123" t="s">
        <v>30</v>
      </c>
      <c r="D65" s="129" t="s">
        <v>124</v>
      </c>
      <c r="E65" s="108"/>
      <c r="F65" s="19"/>
      <c r="G65" s="19"/>
      <c r="H65" s="110"/>
      <c r="I65" s="111">
        <v>752.51124000000004</v>
      </c>
      <c r="J65" s="112"/>
      <c r="K65" s="19"/>
      <c r="L65" s="19"/>
      <c r="M65" s="19"/>
    </row>
    <row r="66" spans="1:13" ht="15.5" hidden="1" customHeight="1">
      <c r="A66" s="122">
        <v>65</v>
      </c>
      <c r="B66" s="106" t="s">
        <v>198</v>
      </c>
      <c r="C66" s="123" t="s">
        <v>30</v>
      </c>
      <c r="D66" s="129" t="s">
        <v>134</v>
      </c>
      <c r="E66" s="108"/>
      <c r="F66" s="19"/>
      <c r="G66" s="19"/>
      <c r="H66" s="110"/>
      <c r="I66" s="111">
        <v>752.51124000000004</v>
      </c>
      <c r="J66" s="112"/>
      <c r="K66" s="19"/>
      <c r="L66" s="19"/>
      <c r="M66" s="19"/>
    </row>
    <row r="67" spans="1:13" ht="15.5" hidden="1" customHeight="1">
      <c r="A67" s="122">
        <v>66</v>
      </c>
      <c r="B67" s="106" t="s">
        <v>199</v>
      </c>
      <c r="C67" s="123" t="s">
        <v>30</v>
      </c>
      <c r="D67" s="129" t="s">
        <v>124</v>
      </c>
      <c r="E67" s="108"/>
      <c r="F67" s="19"/>
      <c r="G67" s="19"/>
      <c r="H67" s="110"/>
      <c r="I67" s="111">
        <v>752.51124000000004</v>
      </c>
      <c r="J67" s="112"/>
      <c r="K67" s="19"/>
      <c r="L67" s="19"/>
      <c r="M67" s="19"/>
    </row>
    <row r="68" spans="1:13" ht="15.5" hidden="1" customHeight="1">
      <c r="A68" s="122">
        <v>67</v>
      </c>
      <c r="B68" s="106" t="s">
        <v>200</v>
      </c>
      <c r="C68" s="123" t="s">
        <v>30</v>
      </c>
      <c r="D68" s="129" t="s">
        <v>124</v>
      </c>
      <c r="E68" s="108"/>
      <c r="F68" s="19"/>
      <c r="G68" s="19"/>
      <c r="H68" s="110"/>
      <c r="I68" s="111">
        <v>760.69</v>
      </c>
      <c r="J68" s="112"/>
      <c r="K68" s="19"/>
      <c r="L68" s="19"/>
      <c r="M68" s="19"/>
    </row>
    <row r="69" spans="1:13" ht="15.5" hidden="1" customHeight="1">
      <c r="A69" s="122">
        <v>68</v>
      </c>
      <c r="B69" s="106" t="s">
        <v>201</v>
      </c>
      <c r="C69" s="123" t="s">
        <v>59</v>
      </c>
      <c r="D69" s="124" t="s">
        <v>124</v>
      </c>
      <c r="E69" s="108"/>
      <c r="F69" s="19"/>
      <c r="G69" s="19"/>
      <c r="H69" s="110"/>
      <c r="I69" s="111">
        <v>958.1</v>
      </c>
      <c r="J69" s="112"/>
      <c r="K69" s="19"/>
      <c r="L69" s="19"/>
      <c r="M69" s="19"/>
    </row>
    <row r="70" spans="1:13" ht="15.5" customHeight="1">
      <c r="A70" s="122">
        <v>69</v>
      </c>
      <c r="B70" s="106" t="s">
        <v>202</v>
      </c>
      <c r="C70" s="123" t="s">
        <v>59</v>
      </c>
      <c r="D70" s="124" t="s">
        <v>124</v>
      </c>
      <c r="E70" s="116">
        <v>45413</v>
      </c>
      <c r="F70" s="126" t="s">
        <v>128</v>
      </c>
      <c r="G70" s="127">
        <v>2024</v>
      </c>
      <c r="H70" s="26" t="s">
        <v>203</v>
      </c>
      <c r="I70" s="119">
        <v>750.35843999999997</v>
      </c>
      <c r="J70" s="89">
        <v>18000000</v>
      </c>
      <c r="K70" s="128">
        <f>J70*10%</f>
        <v>1800000</v>
      </c>
      <c r="L70" s="91">
        <f>J70-K70</f>
        <v>16200000</v>
      </c>
      <c r="M70" s="19"/>
    </row>
    <row r="71" spans="1:13" ht="15.5" customHeight="1">
      <c r="A71" s="122">
        <v>70</v>
      </c>
      <c r="B71" s="106" t="s">
        <v>204</v>
      </c>
      <c r="C71" s="123" t="s">
        <v>59</v>
      </c>
      <c r="D71" s="124" t="s">
        <v>127</v>
      </c>
      <c r="E71" s="116">
        <v>45420</v>
      </c>
      <c r="F71" s="126" t="s">
        <v>128</v>
      </c>
      <c r="G71" s="127">
        <v>2024</v>
      </c>
      <c r="H71" s="26" t="s">
        <v>205</v>
      </c>
      <c r="I71" s="119">
        <v>750.35843999999997</v>
      </c>
      <c r="J71" s="89">
        <v>18000000</v>
      </c>
      <c r="K71" s="128">
        <f>J71*10%</f>
        <v>1800000</v>
      </c>
      <c r="L71" s="91">
        <f>J71-K71</f>
        <v>16200000</v>
      </c>
      <c r="M71" s="19"/>
    </row>
    <row r="72" spans="1:13" ht="15.5" hidden="1" customHeight="1">
      <c r="A72" s="122">
        <v>71</v>
      </c>
      <c r="B72" s="106" t="s">
        <v>206</v>
      </c>
      <c r="C72" s="123" t="s">
        <v>59</v>
      </c>
      <c r="D72" s="124" t="s">
        <v>124</v>
      </c>
      <c r="E72" s="108"/>
      <c r="F72" s="19"/>
      <c r="G72" s="19"/>
      <c r="H72" s="110"/>
      <c r="I72" s="111">
        <v>902.13</v>
      </c>
      <c r="J72" s="112"/>
      <c r="K72" s="19"/>
      <c r="L72" s="19"/>
      <c r="M72" s="19"/>
    </row>
    <row r="73" spans="1:13" ht="15.5" hidden="1" customHeight="1">
      <c r="A73" s="122">
        <v>72</v>
      </c>
      <c r="B73" s="106" t="s">
        <v>207</v>
      </c>
      <c r="C73" s="123" t="s">
        <v>30</v>
      </c>
      <c r="D73" s="129" t="s">
        <v>124</v>
      </c>
      <c r="E73" s="108"/>
      <c r="F73" s="19"/>
      <c r="G73" s="19"/>
      <c r="H73" s="110"/>
      <c r="I73" s="111">
        <v>752.51124000000004</v>
      </c>
      <c r="J73" s="112"/>
      <c r="K73" s="19"/>
      <c r="L73" s="19"/>
      <c r="M73" s="19"/>
    </row>
    <row r="74" spans="1:13" ht="15.5" customHeight="1">
      <c r="A74" s="122">
        <v>73</v>
      </c>
      <c r="B74" s="106" t="s">
        <v>208</v>
      </c>
      <c r="C74" s="123" t="s">
        <v>30</v>
      </c>
      <c r="D74" s="129" t="s">
        <v>124</v>
      </c>
      <c r="E74" s="116">
        <v>45420</v>
      </c>
      <c r="F74" s="126" t="s">
        <v>128</v>
      </c>
      <c r="G74" s="127">
        <v>2024</v>
      </c>
      <c r="H74" s="26" t="s">
        <v>209</v>
      </c>
      <c r="I74" s="119">
        <v>752.51124000000004</v>
      </c>
      <c r="J74" s="89">
        <v>18000000</v>
      </c>
      <c r="K74" s="128">
        <f>J74*10%</f>
        <v>1800000</v>
      </c>
      <c r="L74" s="91">
        <f>J74-K74</f>
        <v>16200000</v>
      </c>
      <c r="M74" s="19"/>
    </row>
    <row r="75" spans="1:13" ht="15.5" customHeight="1">
      <c r="A75" s="122">
        <v>74</v>
      </c>
      <c r="B75" s="106" t="s">
        <v>210</v>
      </c>
      <c r="C75" s="123" t="s">
        <v>30</v>
      </c>
      <c r="D75" s="129" t="s">
        <v>127</v>
      </c>
      <c r="E75" s="116">
        <v>45414</v>
      </c>
      <c r="F75" s="126" t="s">
        <v>128</v>
      </c>
      <c r="G75" s="127">
        <v>2024</v>
      </c>
      <c r="H75" s="26" t="s">
        <v>211</v>
      </c>
      <c r="I75" s="119">
        <v>752.51124000000004</v>
      </c>
      <c r="J75" s="89">
        <v>18000000</v>
      </c>
      <c r="K75" s="128">
        <f>J75*10%</f>
        <v>1800000</v>
      </c>
      <c r="L75" s="91">
        <f>J75-K75</f>
        <v>16200000</v>
      </c>
      <c r="M75" s="19"/>
    </row>
    <row r="76" spans="1:13" ht="15.5" hidden="1" customHeight="1">
      <c r="A76" s="122">
        <v>75</v>
      </c>
      <c r="B76" s="106" t="s">
        <v>212</v>
      </c>
      <c r="C76" s="123" t="s">
        <v>30</v>
      </c>
      <c r="D76" s="129" t="s">
        <v>124</v>
      </c>
      <c r="E76" s="108"/>
      <c r="F76" s="19"/>
      <c r="G76" s="19"/>
      <c r="H76" s="110"/>
      <c r="I76" s="111">
        <v>760.69</v>
      </c>
      <c r="J76" s="112"/>
      <c r="K76" s="19"/>
      <c r="L76" s="19"/>
      <c r="M76" s="19"/>
    </row>
    <row r="77" spans="1:13" ht="15.5" customHeight="1">
      <c r="A77" s="122">
        <v>76</v>
      </c>
      <c r="B77" s="106" t="s">
        <v>213</v>
      </c>
      <c r="C77" s="123" t="s">
        <v>59</v>
      </c>
      <c r="D77" s="124" t="s">
        <v>127</v>
      </c>
      <c r="E77" s="116">
        <v>45414</v>
      </c>
      <c r="F77" s="126" t="s">
        <v>128</v>
      </c>
      <c r="G77" s="127">
        <v>2024</v>
      </c>
      <c r="H77" s="26" t="s">
        <v>214</v>
      </c>
      <c r="I77" s="119">
        <v>958.1</v>
      </c>
      <c r="J77" s="89">
        <v>29500000</v>
      </c>
      <c r="K77" s="128">
        <f>J77*10%</f>
        <v>2950000</v>
      </c>
      <c r="L77" s="91">
        <f>J77-K77</f>
        <v>26550000</v>
      </c>
      <c r="M77" s="19"/>
    </row>
    <row r="78" spans="1:13" ht="15.5" hidden="1" customHeight="1">
      <c r="A78" s="122">
        <v>77</v>
      </c>
      <c r="B78" s="106" t="s">
        <v>215</v>
      </c>
      <c r="C78" s="123" t="s">
        <v>59</v>
      </c>
      <c r="D78" s="124" t="s">
        <v>124</v>
      </c>
      <c r="E78" s="108"/>
      <c r="F78" s="19"/>
      <c r="G78" s="19"/>
      <c r="H78" s="110"/>
      <c r="I78" s="111">
        <v>750.35843999999997</v>
      </c>
      <c r="J78" s="112"/>
      <c r="K78" s="19"/>
      <c r="L78" s="19"/>
      <c r="M78" s="19"/>
    </row>
    <row r="79" spans="1:13" ht="15.5" hidden="1" customHeight="1">
      <c r="A79" s="122">
        <v>78</v>
      </c>
      <c r="B79" s="106" t="s">
        <v>216</v>
      </c>
      <c r="C79" s="123" t="s">
        <v>59</v>
      </c>
      <c r="D79" s="124" t="s">
        <v>124</v>
      </c>
      <c r="E79" s="108"/>
      <c r="F79" s="19"/>
      <c r="G79" s="19"/>
      <c r="H79" s="110"/>
      <c r="I79" s="111">
        <v>750.35843999999997</v>
      </c>
      <c r="J79" s="112"/>
      <c r="K79" s="19"/>
      <c r="L79" s="19"/>
      <c r="M79" s="19"/>
    </row>
    <row r="80" spans="1:13" ht="15.5" hidden="1" customHeight="1">
      <c r="A80" s="122">
        <v>79</v>
      </c>
      <c r="B80" s="106" t="s">
        <v>217</v>
      </c>
      <c r="C80" s="123" t="s">
        <v>59</v>
      </c>
      <c r="D80" s="124" t="s">
        <v>124</v>
      </c>
      <c r="E80" s="108"/>
      <c r="F80" s="19"/>
      <c r="G80" s="19"/>
      <c r="H80" s="110"/>
      <c r="I80" s="111">
        <v>902.13</v>
      </c>
      <c r="J80" s="112"/>
      <c r="K80" s="19"/>
      <c r="L80" s="19"/>
      <c r="M80" s="19"/>
    </row>
    <row r="81" spans="1:13" ht="15.5" hidden="1" customHeight="1">
      <c r="A81" s="122">
        <v>80</v>
      </c>
      <c r="B81" s="106" t="s">
        <v>218</v>
      </c>
      <c r="C81" s="123" t="s">
        <v>30</v>
      </c>
      <c r="D81" s="129" t="s">
        <v>124</v>
      </c>
      <c r="E81" s="108"/>
      <c r="F81" s="19"/>
      <c r="G81" s="19"/>
      <c r="H81" s="110"/>
      <c r="I81" s="111">
        <v>752.51124000000004</v>
      </c>
      <c r="J81" s="112"/>
      <c r="K81" s="19"/>
      <c r="L81" s="19"/>
      <c r="M81" s="19"/>
    </row>
    <row r="82" spans="1:13" ht="15.5" hidden="1" customHeight="1">
      <c r="A82" s="122">
        <v>81</v>
      </c>
      <c r="B82" s="106" t="s">
        <v>219</v>
      </c>
      <c r="C82" s="123" t="s">
        <v>30</v>
      </c>
      <c r="D82" s="129" t="s">
        <v>124</v>
      </c>
      <c r="E82" s="108"/>
      <c r="F82" s="19"/>
      <c r="G82" s="19"/>
      <c r="H82" s="110"/>
      <c r="I82" s="111">
        <v>752.51124000000004</v>
      </c>
      <c r="J82" s="112"/>
      <c r="K82" s="19"/>
      <c r="L82" s="19"/>
      <c r="M82" s="19"/>
    </row>
    <row r="83" spans="1:13" ht="15.5" customHeight="1">
      <c r="A83" s="122">
        <v>82</v>
      </c>
      <c r="B83" s="106" t="s">
        <v>220</v>
      </c>
      <c r="C83" s="123" t="s">
        <v>30</v>
      </c>
      <c r="D83" s="129" t="s">
        <v>124</v>
      </c>
      <c r="E83" s="116">
        <v>45429</v>
      </c>
      <c r="F83" s="126" t="s">
        <v>128</v>
      </c>
      <c r="G83" s="127">
        <v>2024</v>
      </c>
      <c r="H83" s="26" t="s">
        <v>221</v>
      </c>
      <c r="I83" s="119">
        <v>752.51124000000004</v>
      </c>
      <c r="J83" s="89">
        <v>18000000</v>
      </c>
      <c r="K83" s="128">
        <f>J83*10%</f>
        <v>1800000</v>
      </c>
      <c r="L83" s="91">
        <f>J83-K83</f>
        <v>16200000</v>
      </c>
      <c r="M83" s="19"/>
    </row>
    <row r="84" spans="1:13" ht="15.5" hidden="1" customHeight="1">
      <c r="A84" s="122">
        <v>83</v>
      </c>
      <c r="B84" s="106" t="s">
        <v>222</v>
      </c>
      <c r="C84" s="123" t="s">
        <v>30</v>
      </c>
      <c r="D84" s="129" t="s">
        <v>124</v>
      </c>
      <c r="E84" s="108"/>
      <c r="F84" s="19"/>
      <c r="G84" s="19"/>
      <c r="H84" s="110"/>
      <c r="I84" s="111">
        <v>760.69</v>
      </c>
      <c r="J84" s="112"/>
      <c r="K84" s="19"/>
      <c r="L84" s="19"/>
      <c r="M84" s="19"/>
    </row>
    <row r="85" spans="1:13" ht="15.5" hidden="1" customHeight="1">
      <c r="A85" s="122">
        <v>84</v>
      </c>
      <c r="B85" s="106" t="s">
        <v>223</v>
      </c>
      <c r="C85" s="123" t="s">
        <v>59</v>
      </c>
      <c r="D85" s="124" t="s">
        <v>124</v>
      </c>
      <c r="E85" s="108"/>
      <c r="F85" s="19"/>
      <c r="G85" s="19"/>
      <c r="H85" s="110"/>
      <c r="I85" s="111">
        <v>958.1</v>
      </c>
      <c r="J85" s="112"/>
      <c r="K85" s="19"/>
      <c r="L85" s="19"/>
      <c r="M85" s="19"/>
    </row>
    <row r="86" spans="1:13" ht="15.5" hidden="1" customHeight="1">
      <c r="A86" s="122">
        <v>85</v>
      </c>
      <c r="B86" s="106" t="s">
        <v>224</v>
      </c>
      <c r="C86" s="123" t="s">
        <v>59</v>
      </c>
      <c r="D86" s="124" t="s">
        <v>124</v>
      </c>
      <c r="E86" s="108"/>
      <c r="F86" s="19"/>
      <c r="G86" s="19"/>
      <c r="H86" s="110"/>
      <c r="I86" s="111">
        <v>750.35843999999997</v>
      </c>
      <c r="J86" s="112"/>
      <c r="K86" s="19"/>
      <c r="L86" s="19"/>
      <c r="M86" s="19"/>
    </row>
    <row r="87" spans="1:13" ht="15.5" customHeight="1">
      <c r="A87" s="122">
        <v>86</v>
      </c>
      <c r="B87" s="106" t="s">
        <v>225</v>
      </c>
      <c r="C87" s="123" t="s">
        <v>59</v>
      </c>
      <c r="D87" s="124" t="s">
        <v>124</v>
      </c>
      <c r="E87" s="116">
        <v>45579</v>
      </c>
      <c r="F87" s="126" t="s">
        <v>226</v>
      </c>
      <c r="G87" s="127">
        <v>2024</v>
      </c>
      <c r="H87" s="26" t="s">
        <v>227</v>
      </c>
      <c r="I87" s="119">
        <v>750.35843999999997</v>
      </c>
      <c r="J87" s="89">
        <v>18000000</v>
      </c>
      <c r="K87" s="128">
        <f>J87*10%</f>
        <v>1800000</v>
      </c>
      <c r="L87" s="91">
        <f>J87-K87</f>
        <v>16200000</v>
      </c>
      <c r="M87" s="19"/>
    </row>
    <row r="88" spans="1:13" ht="15.5" customHeight="1">
      <c r="A88" s="122">
        <v>87</v>
      </c>
      <c r="B88" s="106" t="s">
        <v>228</v>
      </c>
      <c r="C88" s="123" t="s">
        <v>59</v>
      </c>
      <c r="D88" s="130" t="s">
        <v>124</v>
      </c>
      <c r="E88" s="116">
        <v>45405</v>
      </c>
      <c r="F88" s="126" t="s">
        <v>226</v>
      </c>
      <c r="G88" s="127">
        <v>2024</v>
      </c>
      <c r="H88" s="26" t="s">
        <v>229</v>
      </c>
      <c r="I88" s="119">
        <v>902.13</v>
      </c>
      <c r="J88" s="89">
        <v>28314286</v>
      </c>
      <c r="K88" s="128">
        <f>J88*10%</f>
        <v>2831428.6</v>
      </c>
      <c r="L88" s="91">
        <f>J88-K88</f>
        <v>25482857.399999999</v>
      </c>
      <c r="M88" s="19"/>
    </row>
    <row r="89" spans="1:13" ht="15.5" hidden="1" customHeight="1">
      <c r="A89" s="122">
        <v>88</v>
      </c>
      <c r="B89" s="106" t="s">
        <v>230</v>
      </c>
      <c r="C89" s="123" t="s">
        <v>30</v>
      </c>
      <c r="D89" s="131" t="s">
        <v>124</v>
      </c>
      <c r="E89" s="108"/>
      <c r="F89" s="19"/>
      <c r="G89" s="19"/>
      <c r="H89" s="110"/>
      <c r="I89" s="111">
        <v>752.51124000000004</v>
      </c>
      <c r="J89" s="112"/>
      <c r="K89" s="19"/>
      <c r="L89" s="19"/>
      <c r="M89" s="19"/>
    </row>
    <row r="90" spans="1:13" ht="15.5" hidden="1" customHeight="1">
      <c r="A90" s="122">
        <v>89</v>
      </c>
      <c r="B90" s="106" t="s">
        <v>231</v>
      </c>
      <c r="C90" s="123" t="s">
        <v>30</v>
      </c>
      <c r="D90" s="131" t="s">
        <v>124</v>
      </c>
      <c r="E90" s="108"/>
      <c r="F90" s="19"/>
      <c r="G90" s="19"/>
      <c r="H90" s="110"/>
      <c r="I90" s="111">
        <v>752.51124000000004</v>
      </c>
      <c r="J90" s="112"/>
      <c r="K90" s="19"/>
      <c r="L90" s="19"/>
      <c r="M90" s="19"/>
    </row>
    <row r="91" spans="1:13" ht="15.5" hidden="1" customHeight="1">
      <c r="A91" s="122">
        <v>90</v>
      </c>
      <c r="B91" s="106" t="s">
        <v>232</v>
      </c>
      <c r="C91" s="123" t="s">
        <v>30</v>
      </c>
      <c r="D91" s="131" t="s">
        <v>124</v>
      </c>
      <c r="E91" s="108"/>
      <c r="F91" s="19"/>
      <c r="G91" s="19"/>
      <c r="H91" s="110"/>
      <c r="I91" s="111">
        <v>760.69</v>
      </c>
      <c r="J91" s="112"/>
      <c r="K91" s="19"/>
      <c r="L91" s="19"/>
      <c r="M91" s="19"/>
    </row>
    <row r="92" spans="1:13" ht="15.5" hidden="1" customHeight="1">
      <c r="A92" s="122">
        <v>91</v>
      </c>
      <c r="B92" s="106" t="s">
        <v>233</v>
      </c>
      <c r="C92" s="123" t="s">
        <v>59</v>
      </c>
      <c r="D92" s="107" t="s">
        <v>124</v>
      </c>
      <c r="E92" s="108"/>
      <c r="F92" s="19"/>
      <c r="G92" s="19"/>
      <c r="H92" s="110"/>
      <c r="I92" s="111">
        <v>958.1</v>
      </c>
      <c r="J92" s="112"/>
      <c r="K92" s="19"/>
      <c r="L92" s="19"/>
      <c r="M92" s="19"/>
    </row>
    <row r="93" spans="1:13" ht="15.5" hidden="1" customHeight="1">
      <c r="A93" s="122">
        <v>92</v>
      </c>
      <c r="B93" s="106" t="s">
        <v>234</v>
      </c>
      <c r="C93" s="123" t="s">
        <v>59</v>
      </c>
      <c r="D93" s="107" t="s">
        <v>124</v>
      </c>
      <c r="E93" s="108"/>
      <c r="F93" s="19"/>
      <c r="G93" s="19"/>
      <c r="H93" s="110"/>
      <c r="I93" s="111">
        <v>750.35843999999997</v>
      </c>
      <c r="J93" s="112"/>
      <c r="K93" s="19"/>
      <c r="L93" s="19"/>
      <c r="M93" s="19"/>
    </row>
    <row r="94" spans="1:13" ht="16" hidden="1" customHeight="1">
      <c r="A94" s="122">
        <v>93</v>
      </c>
      <c r="B94" s="106" t="s">
        <v>235</v>
      </c>
      <c r="C94" s="123" t="s">
        <v>59</v>
      </c>
      <c r="D94" s="107" t="s">
        <v>124</v>
      </c>
      <c r="E94" s="108"/>
      <c r="F94" s="19"/>
      <c r="G94" s="19"/>
      <c r="H94" s="110"/>
      <c r="I94" s="111">
        <v>750.35843999999997</v>
      </c>
      <c r="J94" s="112"/>
      <c r="K94" s="19"/>
      <c r="L94" s="19"/>
      <c r="M94" s="19"/>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
  <sheetViews>
    <sheetView showGridLines="0" workbookViewId="0">
      <selection activeCell="D13" sqref="D13"/>
    </sheetView>
  </sheetViews>
  <sheetFormatPr baseColWidth="10" defaultColWidth="8.83203125" defaultRowHeight="14.5" customHeight="1"/>
  <cols>
    <col min="1" max="1" width="8.83203125" style="4" customWidth="1"/>
    <col min="2" max="2" width="22.33203125" style="4" customWidth="1"/>
    <col min="3" max="3" width="25.5" style="4" customWidth="1"/>
    <col min="4" max="6" width="8.83203125" style="4" customWidth="1"/>
    <col min="7" max="16384" width="8.83203125" style="4"/>
  </cols>
  <sheetData>
    <row r="1" spans="1:5" ht="13.5" customHeight="1">
      <c r="A1" s="19"/>
      <c r="B1" s="19"/>
      <c r="C1" s="19"/>
      <c r="D1" s="19"/>
      <c r="E1" s="19"/>
    </row>
    <row r="2" spans="1:5" ht="13.5" customHeight="1">
      <c r="A2" s="44"/>
      <c r="B2" s="44"/>
      <c r="C2" s="44"/>
      <c r="D2" s="44"/>
      <c r="E2" s="19"/>
    </row>
    <row r="3" spans="1:5" ht="13.5" customHeight="1">
      <c r="A3" s="423" t="s">
        <v>236</v>
      </c>
      <c r="B3" s="424"/>
      <c r="C3" s="424"/>
      <c r="D3" s="132" t="s">
        <v>105</v>
      </c>
      <c r="E3" s="87"/>
    </row>
    <row r="4" spans="1:5" ht="13.5" customHeight="1">
      <c r="A4" s="133">
        <v>1</v>
      </c>
      <c r="B4" s="134"/>
      <c r="C4" s="135"/>
      <c r="D4" s="134"/>
      <c r="E4" s="87"/>
    </row>
    <row r="5" spans="1:5" ht="13.5" customHeight="1">
      <c r="A5" s="133">
        <v>2</v>
      </c>
      <c r="B5" s="134"/>
      <c r="C5" s="135"/>
      <c r="D5" s="134"/>
      <c r="E5" s="87"/>
    </row>
    <row r="6" spans="1:5" ht="13.5" customHeight="1">
      <c r="A6" s="133">
        <v>3</v>
      </c>
      <c r="B6" s="134"/>
      <c r="C6" s="135"/>
      <c r="D6" s="134"/>
      <c r="E6" s="87"/>
    </row>
    <row r="7" spans="1:5" ht="13.5" customHeight="1">
      <c r="A7" s="133">
        <v>4</v>
      </c>
      <c r="B7" s="134"/>
      <c r="C7" s="135"/>
      <c r="D7" s="134"/>
      <c r="E7" s="87"/>
    </row>
    <row r="8" spans="1:5" ht="13.5" customHeight="1">
      <c r="A8" s="109"/>
      <c r="B8" s="109"/>
      <c r="C8" s="109"/>
      <c r="D8" s="109"/>
      <c r="E8" s="19"/>
    </row>
    <row r="9" spans="1:5" ht="13.5" customHeight="1">
      <c r="A9" s="423" t="s">
        <v>237</v>
      </c>
      <c r="B9" s="424"/>
      <c r="C9" s="424"/>
      <c r="D9" s="132" t="s">
        <v>238</v>
      </c>
      <c r="E9" s="87"/>
    </row>
    <row r="10" spans="1:5" ht="13.5" customHeight="1">
      <c r="A10" s="133">
        <v>1</v>
      </c>
      <c r="B10" s="134"/>
      <c r="C10" s="135"/>
      <c r="D10" s="136"/>
      <c r="E10" s="87"/>
    </row>
    <row r="11" spans="1:5" ht="13.5" customHeight="1">
      <c r="A11" s="133">
        <v>2</v>
      </c>
      <c r="B11" s="134"/>
      <c r="C11" s="135"/>
      <c r="D11" s="136"/>
      <c r="E11" s="87"/>
    </row>
    <row r="12" spans="1:5" ht="13.5" customHeight="1">
      <c r="A12" s="133">
        <v>3</v>
      </c>
      <c r="B12" s="134"/>
      <c r="C12" s="135"/>
      <c r="D12" s="136"/>
      <c r="E12" s="87"/>
    </row>
    <row r="13" spans="1:5" ht="13.5" customHeight="1">
      <c r="A13" s="133">
        <v>4</v>
      </c>
      <c r="B13" s="134"/>
      <c r="C13" s="135"/>
      <c r="D13" s="136"/>
      <c r="E13" s="87"/>
    </row>
    <row r="14" spans="1:5" ht="13.5" customHeight="1">
      <c r="A14" s="134"/>
      <c r="B14" s="134"/>
      <c r="C14" s="137">
        <f>SUM(C10:C13)</f>
        <v>0</v>
      </c>
      <c r="D14" s="138">
        <f>SUM(D10:D13)</f>
        <v>0</v>
      </c>
      <c r="E14" s="87"/>
    </row>
  </sheetData>
  <mergeCells count="2">
    <mergeCell ref="A3:C3"/>
    <mergeCell ref="A9:C9"/>
  </mergeCell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
  <sheetViews>
    <sheetView showGridLines="0" workbookViewId="0"/>
  </sheetViews>
  <sheetFormatPr baseColWidth="10" defaultColWidth="9.1640625" defaultRowHeight="11.5" customHeight="1"/>
  <cols>
    <col min="1" max="1" width="9.1640625" style="4" customWidth="1"/>
    <col min="2" max="2" width="6.5" style="4" customWidth="1"/>
    <col min="3" max="3" width="13.83203125" style="4" customWidth="1"/>
    <col min="4" max="4" width="16.5" style="4" customWidth="1"/>
    <col min="5" max="5" width="10.33203125" style="4" customWidth="1"/>
    <col min="6" max="6" width="9.6640625" style="4" customWidth="1"/>
    <col min="7" max="7" width="11.83203125" style="4" customWidth="1"/>
    <col min="8" max="8" width="10.5" style="4" customWidth="1"/>
    <col min="9" max="9" width="12.6640625" style="4" customWidth="1"/>
    <col min="10" max="10" width="18.5" style="4" customWidth="1"/>
    <col min="11" max="11" width="30.6640625" style="4" customWidth="1"/>
    <col min="12" max="12" width="9.1640625" style="4" customWidth="1"/>
    <col min="13" max="16384" width="9.1640625" style="4"/>
  </cols>
  <sheetData>
    <row r="1" spans="1:11" ht="13.5" customHeight="1">
      <c r="A1" s="19"/>
      <c r="B1" s="44"/>
      <c r="C1" s="44"/>
      <c r="D1" s="44"/>
      <c r="E1" s="44"/>
      <c r="F1" s="44"/>
      <c r="G1" s="44"/>
      <c r="H1" s="44"/>
      <c r="I1" s="44"/>
      <c r="J1" s="44"/>
      <c r="K1" s="44"/>
    </row>
    <row r="2" spans="1:11" ht="14" customHeight="1">
      <c r="A2" s="45"/>
      <c r="B2" s="139" t="s">
        <v>239</v>
      </c>
      <c r="C2" s="140" t="s">
        <v>240</v>
      </c>
      <c r="D2" s="140" t="s">
        <v>241</v>
      </c>
      <c r="E2" s="139" t="s">
        <v>242</v>
      </c>
      <c r="F2" s="139" t="s">
        <v>243</v>
      </c>
      <c r="G2" s="139" t="s">
        <v>244</v>
      </c>
      <c r="H2" s="139" t="s">
        <v>245</v>
      </c>
      <c r="I2" s="139" t="s">
        <v>246</v>
      </c>
      <c r="J2" s="139" t="s">
        <v>247</v>
      </c>
      <c r="K2" s="141" t="s">
        <v>248</v>
      </c>
    </row>
    <row r="3" spans="1:11" ht="14" customHeight="1">
      <c r="A3" s="45"/>
      <c r="B3" s="142"/>
      <c r="C3" s="143"/>
      <c r="D3" s="143"/>
      <c r="E3" s="144" t="s">
        <v>249</v>
      </c>
      <c r="F3" s="144" t="s">
        <v>249</v>
      </c>
      <c r="G3" s="144" t="s">
        <v>249</v>
      </c>
      <c r="H3" s="144" t="s">
        <v>250</v>
      </c>
      <c r="I3" s="144" t="s">
        <v>250</v>
      </c>
      <c r="J3" s="142"/>
      <c r="K3" s="134"/>
    </row>
    <row r="4" spans="1:11" ht="14" customHeight="1">
      <c r="A4" s="45"/>
      <c r="B4" s="145">
        <v>1</v>
      </c>
      <c r="C4" s="143"/>
      <c r="D4" s="143"/>
      <c r="E4" s="146"/>
      <c r="F4" s="146"/>
      <c r="G4" s="146"/>
      <c r="H4" s="147"/>
      <c r="I4" s="147"/>
      <c r="J4" s="142"/>
      <c r="K4" s="148"/>
    </row>
    <row r="5" spans="1:11" ht="14" customHeight="1">
      <c r="A5" s="45"/>
      <c r="B5" s="149"/>
      <c r="C5" s="140" t="s">
        <v>82</v>
      </c>
      <c r="D5" s="150"/>
      <c r="E5" s="151">
        <f>SUM(E4:E4)</f>
        <v>0</v>
      </c>
      <c r="F5" s="151">
        <f>SUM(F4:F4)</f>
        <v>0</v>
      </c>
      <c r="G5" s="151">
        <f>SUM(G4:G4)</f>
        <v>0</v>
      </c>
      <c r="H5" s="152">
        <f>SUM(H4:H4)</f>
        <v>0</v>
      </c>
      <c r="I5" s="152">
        <f>SUM(I4:I4)</f>
        <v>0</v>
      </c>
      <c r="J5" s="149"/>
      <c r="K5" s="134"/>
    </row>
    <row r="6" spans="1:11" ht="14" customHeight="1">
      <c r="A6" s="19"/>
      <c r="B6" s="100"/>
      <c r="C6" s="100"/>
      <c r="D6" s="100"/>
      <c r="E6" s="100"/>
      <c r="F6" s="100"/>
      <c r="G6" s="100"/>
      <c r="H6" s="100"/>
      <c r="I6" s="153"/>
      <c r="J6" s="100"/>
      <c r="K6" s="100"/>
    </row>
    <row r="7" spans="1:11" ht="14" customHeight="1">
      <c r="A7" s="19"/>
      <c r="B7" s="19"/>
      <c r="C7" s="19"/>
      <c r="D7" s="19"/>
      <c r="E7" s="19"/>
      <c r="F7" s="19"/>
      <c r="G7" s="19"/>
      <c r="H7" s="19"/>
      <c r="I7" s="154"/>
      <c r="J7" s="19"/>
      <c r="K7" s="19"/>
    </row>
    <row r="8" spans="1:11" ht="14" customHeight="1">
      <c r="A8" s="19"/>
      <c r="B8" s="19"/>
      <c r="C8" s="19"/>
      <c r="D8" s="19"/>
      <c r="E8" s="19"/>
      <c r="F8" s="19"/>
      <c r="G8" s="19"/>
      <c r="H8" s="19"/>
      <c r="I8" s="155"/>
      <c r="J8" s="19"/>
      <c r="K8" s="19"/>
    </row>
    <row r="9" spans="1:11" ht="13.5" customHeight="1">
      <c r="A9" s="19"/>
      <c r="B9" s="19"/>
      <c r="C9" s="19"/>
      <c r="D9" s="19"/>
      <c r="E9" s="19"/>
      <c r="F9" s="19"/>
      <c r="G9" s="19"/>
      <c r="H9" s="19"/>
      <c r="I9" s="19"/>
      <c r="J9" s="19"/>
      <c r="K9" s="19"/>
    </row>
    <row r="10" spans="1:11" ht="13.5" customHeight="1">
      <c r="A10" s="19"/>
      <c r="B10" s="19"/>
      <c r="C10" s="19"/>
      <c r="D10" s="19"/>
      <c r="E10" s="19"/>
      <c r="F10" s="19"/>
      <c r="G10" s="19"/>
      <c r="H10" s="19"/>
      <c r="I10" s="19"/>
      <c r="J10" s="19"/>
      <c r="K10" s="19"/>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showGridLines="0" workbookViewId="0"/>
  </sheetViews>
  <sheetFormatPr baseColWidth="10" defaultColWidth="8.83203125" defaultRowHeight="14.5" customHeight="1"/>
  <cols>
    <col min="1" max="1" width="8.83203125" style="4" customWidth="1"/>
    <col min="2" max="2" width="16.5" style="4" customWidth="1"/>
    <col min="3" max="7" width="8.83203125" style="4" customWidth="1"/>
    <col min="8" max="16384" width="8.83203125" style="4"/>
  </cols>
  <sheetData>
    <row r="1" spans="1:6" ht="13.5" customHeight="1">
      <c r="A1" s="44"/>
      <c r="B1" s="44"/>
      <c r="C1" s="44"/>
      <c r="D1" s="44"/>
      <c r="E1" s="44"/>
      <c r="F1" s="44"/>
    </row>
    <row r="2" spans="1:6" ht="43.5" customHeight="1">
      <c r="A2" s="156" t="s">
        <v>251</v>
      </c>
      <c r="B2" s="156" t="s">
        <v>252</v>
      </c>
      <c r="C2" s="156" t="s">
        <v>253</v>
      </c>
      <c r="D2" s="156" t="s">
        <v>254</v>
      </c>
      <c r="E2" s="156" t="s">
        <v>255</v>
      </c>
      <c r="F2" s="156" t="s">
        <v>256</v>
      </c>
    </row>
    <row r="3" spans="1:6" ht="13.5" customHeight="1">
      <c r="A3" s="100"/>
      <c r="B3" s="100"/>
      <c r="C3" s="100"/>
      <c r="D3" s="100"/>
      <c r="E3" s="100"/>
      <c r="F3" s="100"/>
    </row>
    <row r="4" spans="1:6" ht="13.5" customHeight="1">
      <c r="A4" s="19"/>
      <c r="B4" s="19"/>
      <c r="C4" s="19"/>
      <c r="D4" s="19"/>
      <c r="E4" s="19"/>
      <c r="F4" s="19"/>
    </row>
    <row r="5" spans="1:6" ht="13.5" customHeight="1">
      <c r="A5" s="19"/>
      <c r="B5" s="19"/>
      <c r="C5" s="19"/>
      <c r="D5" s="19"/>
      <c r="E5" s="19"/>
      <c r="F5" s="19"/>
    </row>
    <row r="6" spans="1:6" ht="13.5" customHeight="1">
      <c r="A6" s="19"/>
      <c r="B6" s="19"/>
      <c r="C6" s="19"/>
      <c r="D6" s="19"/>
      <c r="E6" s="19"/>
      <c r="F6" s="19"/>
    </row>
    <row r="7" spans="1:6" ht="13.5" customHeight="1">
      <c r="A7" s="19"/>
      <c r="B7" s="19"/>
      <c r="C7" s="19"/>
      <c r="D7" s="19"/>
      <c r="E7" s="19"/>
      <c r="F7" s="19"/>
    </row>
    <row r="8" spans="1:6" ht="13.5" customHeight="1">
      <c r="A8" s="19"/>
      <c r="B8" s="19"/>
      <c r="C8" s="19"/>
      <c r="D8" s="19"/>
      <c r="E8" s="19"/>
      <c r="F8" s="19"/>
    </row>
    <row r="9" spans="1:6" ht="13.5" customHeight="1">
      <c r="A9" s="19"/>
      <c r="B9" s="19"/>
      <c r="C9" s="19"/>
      <c r="D9" s="19"/>
      <c r="E9" s="19"/>
      <c r="F9" s="19"/>
    </row>
    <row r="10" spans="1:6" ht="13.5" customHeight="1">
      <c r="A10" s="19"/>
      <c r="B10" s="19"/>
      <c r="C10" s="19"/>
      <c r="D10" s="19"/>
      <c r="E10" s="19"/>
      <c r="F10" s="19"/>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6"/>
  <sheetViews>
    <sheetView showGridLines="0" workbookViewId="0"/>
  </sheetViews>
  <sheetFormatPr baseColWidth="10" defaultColWidth="8.83203125" defaultRowHeight="13" customHeight="1"/>
  <cols>
    <col min="1" max="1" width="4.5" style="4" customWidth="1"/>
    <col min="2" max="2" width="6.6640625" style="4" customWidth="1"/>
    <col min="3" max="3" width="12.1640625" style="4" customWidth="1"/>
    <col min="4" max="4" width="19.1640625" style="4" customWidth="1"/>
    <col min="5" max="5" width="9.6640625" style="4" customWidth="1"/>
    <col min="6" max="7" width="6.5" style="4" customWidth="1"/>
    <col min="8" max="8" width="5.83203125" style="4" customWidth="1"/>
    <col min="9" max="9" width="6" style="4" customWidth="1"/>
    <col min="10" max="11" width="10.33203125" style="4" customWidth="1"/>
    <col min="12" max="12" width="8.5" style="4" customWidth="1"/>
    <col min="13" max="13" width="9.5" style="4" customWidth="1"/>
    <col min="14" max="17" width="8.5" style="4" customWidth="1"/>
    <col min="18" max="18" width="9" style="4" customWidth="1"/>
    <col min="19" max="19" width="8.5" style="4" customWidth="1"/>
    <col min="20" max="20" width="9" style="4" customWidth="1"/>
    <col min="21" max="21" width="8.5" style="4" customWidth="1"/>
    <col min="22" max="22" width="8.83203125" style="4" customWidth="1"/>
    <col min="23" max="16384" width="8.83203125" style="4"/>
  </cols>
  <sheetData>
    <row r="1" spans="1:21" ht="13.5" customHeight="1">
      <c r="A1" s="19"/>
      <c r="B1" s="19"/>
      <c r="C1" s="19"/>
      <c r="D1" s="19"/>
      <c r="E1" s="19"/>
      <c r="F1" s="19"/>
      <c r="G1" s="19"/>
      <c r="H1" s="19"/>
      <c r="I1" s="19"/>
      <c r="J1" s="19"/>
      <c r="K1" s="19"/>
      <c r="L1" s="19"/>
      <c r="M1" s="19"/>
      <c r="N1" s="19"/>
      <c r="O1" s="19"/>
      <c r="P1" s="19"/>
      <c r="Q1" s="19"/>
      <c r="R1" s="19"/>
      <c r="S1" s="19"/>
      <c r="T1" s="19"/>
      <c r="U1" s="19"/>
    </row>
    <row r="2" spans="1:21" ht="13.5" customHeight="1">
      <c r="A2" s="19"/>
      <c r="B2" s="44"/>
      <c r="C2" s="44"/>
      <c r="D2" s="44"/>
      <c r="E2" s="44"/>
      <c r="F2" s="44"/>
      <c r="G2" s="44"/>
      <c r="H2" s="44"/>
      <c r="I2" s="44"/>
      <c r="J2" s="44"/>
      <c r="K2" s="44"/>
      <c r="L2" s="44"/>
      <c r="M2" s="44"/>
      <c r="N2" s="44"/>
      <c r="O2" s="44"/>
      <c r="P2" s="44"/>
      <c r="Q2" s="44"/>
      <c r="R2" s="44"/>
      <c r="S2" s="44"/>
      <c r="T2" s="44"/>
      <c r="U2" s="44"/>
    </row>
    <row r="3" spans="1:21" ht="31.5" customHeight="1">
      <c r="A3" s="45"/>
      <c r="B3" s="157" t="s">
        <v>257</v>
      </c>
      <c r="C3" s="157" t="s">
        <v>258</v>
      </c>
      <c r="D3" s="157" t="s">
        <v>259</v>
      </c>
      <c r="E3" s="157" t="s">
        <v>241</v>
      </c>
      <c r="F3" s="157" t="s">
        <v>260</v>
      </c>
      <c r="G3" s="157" t="s">
        <v>261</v>
      </c>
      <c r="H3" s="157" t="s">
        <v>262</v>
      </c>
      <c r="I3" s="157" t="s">
        <v>263</v>
      </c>
      <c r="J3" s="157" t="s">
        <v>82</v>
      </c>
      <c r="K3" s="157" t="s">
        <v>127</v>
      </c>
      <c r="L3" s="157" t="s">
        <v>124</v>
      </c>
      <c r="M3" s="157" t="s">
        <v>264</v>
      </c>
      <c r="N3" s="157" t="s">
        <v>265</v>
      </c>
      <c r="O3" s="157" t="s">
        <v>266</v>
      </c>
      <c r="P3" s="157" t="s">
        <v>245</v>
      </c>
      <c r="Q3" s="157" t="s">
        <v>267</v>
      </c>
      <c r="R3" s="157" t="s">
        <v>268</v>
      </c>
      <c r="S3" s="157" t="s">
        <v>124</v>
      </c>
      <c r="T3" s="157" t="s">
        <v>269</v>
      </c>
      <c r="U3" s="157" t="s">
        <v>270</v>
      </c>
    </row>
    <row r="4" spans="1:21" ht="14" customHeight="1">
      <c r="A4" s="45"/>
      <c r="B4" s="158">
        <v>1</v>
      </c>
      <c r="C4" s="159"/>
      <c r="D4" s="159"/>
      <c r="E4" s="160"/>
      <c r="F4" s="161"/>
      <c r="G4" s="161"/>
      <c r="H4" s="162"/>
      <c r="I4" s="163"/>
      <c r="J4" s="163"/>
      <c r="K4" s="163"/>
      <c r="L4" s="164"/>
      <c r="M4" s="165"/>
      <c r="N4" s="165"/>
      <c r="O4" s="166"/>
      <c r="P4" s="166"/>
      <c r="Q4" s="166"/>
      <c r="R4" s="166"/>
      <c r="S4" s="166"/>
      <c r="T4" s="166"/>
      <c r="U4" s="166"/>
    </row>
    <row r="5" spans="1:21" ht="14" customHeight="1">
      <c r="A5" s="45"/>
      <c r="B5" s="158">
        <v>2</v>
      </c>
      <c r="C5" s="159"/>
      <c r="D5" s="159"/>
      <c r="E5" s="160"/>
      <c r="F5" s="161"/>
      <c r="G5" s="161"/>
      <c r="H5" s="162"/>
      <c r="I5" s="167"/>
      <c r="J5" s="163"/>
      <c r="K5" s="163"/>
      <c r="L5" s="164"/>
      <c r="M5" s="165"/>
      <c r="N5" s="165"/>
      <c r="O5" s="166"/>
      <c r="P5" s="166"/>
      <c r="Q5" s="166"/>
      <c r="R5" s="166"/>
      <c r="S5" s="166"/>
      <c r="T5" s="166"/>
      <c r="U5" s="166"/>
    </row>
    <row r="6" spans="1:21" ht="13.5" customHeight="1">
      <c r="A6" s="45"/>
      <c r="B6" s="168"/>
      <c r="C6" s="169"/>
      <c r="D6" s="168"/>
      <c r="E6" s="168"/>
      <c r="F6" s="168"/>
      <c r="G6" s="168"/>
      <c r="H6" s="168"/>
      <c r="I6" s="168"/>
      <c r="J6" s="170">
        <f t="shared" ref="J6:U6" si="0">SUM(J4:J5)</f>
        <v>0</v>
      </c>
      <c r="K6" s="170">
        <f t="shared" si="0"/>
        <v>0</v>
      </c>
      <c r="L6" s="170">
        <f t="shared" si="0"/>
        <v>0</v>
      </c>
      <c r="M6" s="171">
        <f t="shared" si="0"/>
        <v>0</v>
      </c>
      <c r="N6" s="171">
        <f t="shared" si="0"/>
        <v>0</v>
      </c>
      <c r="O6" s="171">
        <f t="shared" si="0"/>
        <v>0</v>
      </c>
      <c r="P6" s="171">
        <f t="shared" si="0"/>
        <v>0</v>
      </c>
      <c r="Q6" s="171">
        <f t="shared" si="0"/>
        <v>0</v>
      </c>
      <c r="R6" s="171">
        <f t="shared" si="0"/>
        <v>0</v>
      </c>
      <c r="S6" s="171">
        <f t="shared" si="0"/>
        <v>0</v>
      </c>
      <c r="T6" s="171">
        <f t="shared" si="0"/>
        <v>0</v>
      </c>
      <c r="U6" s="171">
        <f t="shared" si="0"/>
        <v>0</v>
      </c>
    </row>
    <row r="7" spans="1:21" ht="13.75" customHeight="1">
      <c r="A7" s="19"/>
      <c r="B7" s="100"/>
      <c r="C7" s="100"/>
      <c r="D7" s="100"/>
      <c r="E7" s="100"/>
      <c r="F7" s="100"/>
      <c r="G7" s="100"/>
      <c r="H7" s="100"/>
      <c r="I7" s="100"/>
      <c r="J7" s="100"/>
      <c r="K7" s="100"/>
      <c r="L7" s="100"/>
      <c r="M7" s="100"/>
      <c r="N7" s="100"/>
      <c r="O7" s="100"/>
      <c r="P7" s="153"/>
      <c r="Q7" s="100"/>
      <c r="R7" s="100"/>
      <c r="S7" s="100"/>
      <c r="T7" s="100"/>
      <c r="U7" s="100"/>
    </row>
    <row r="8" spans="1:21" ht="13.5" customHeight="1">
      <c r="A8" s="19"/>
      <c r="B8" s="19"/>
      <c r="C8" s="19"/>
      <c r="D8" s="19"/>
      <c r="E8" s="19"/>
      <c r="F8" s="19"/>
      <c r="G8" s="19"/>
      <c r="H8" s="19"/>
      <c r="I8" s="19"/>
      <c r="J8" s="19"/>
      <c r="K8" s="19"/>
      <c r="L8" s="19"/>
      <c r="M8" s="19"/>
      <c r="N8" s="19"/>
      <c r="O8" s="19"/>
      <c r="P8" s="19"/>
      <c r="Q8" s="19"/>
      <c r="R8" s="19"/>
      <c r="S8" s="19"/>
      <c r="T8" s="19"/>
      <c r="U8" s="19"/>
    </row>
    <row r="9" spans="1:21" ht="13.75" customHeight="1">
      <c r="A9" s="19"/>
      <c r="B9" s="19"/>
      <c r="C9" s="19"/>
      <c r="D9" s="19"/>
      <c r="E9" s="19"/>
      <c r="F9" s="19"/>
      <c r="G9" s="19"/>
      <c r="H9" s="19"/>
      <c r="I9" s="19"/>
      <c r="J9" s="19"/>
      <c r="K9" s="19"/>
      <c r="L9" s="19"/>
      <c r="M9" s="19"/>
      <c r="N9" s="91"/>
      <c r="O9" s="19"/>
      <c r="P9" s="19"/>
      <c r="Q9" s="19"/>
      <c r="R9" s="19"/>
      <c r="S9" s="19"/>
      <c r="T9" s="19"/>
      <c r="U9" s="19"/>
    </row>
    <row r="10" spans="1:21" ht="13.75" customHeight="1">
      <c r="A10" s="19"/>
      <c r="B10" s="19"/>
      <c r="C10" s="19"/>
      <c r="D10" s="19"/>
      <c r="E10" s="19"/>
      <c r="F10" s="19"/>
      <c r="G10" s="19"/>
      <c r="H10" s="19"/>
      <c r="I10" s="19"/>
      <c r="J10" s="19"/>
      <c r="K10" s="19"/>
      <c r="L10" s="19"/>
      <c r="M10" s="19"/>
      <c r="N10" s="91"/>
      <c r="O10" s="19"/>
      <c r="P10" s="19"/>
      <c r="Q10" s="19"/>
      <c r="R10" s="19"/>
      <c r="S10" s="19"/>
      <c r="T10" s="19"/>
      <c r="U10" s="19"/>
    </row>
    <row r="11" spans="1:21" ht="13.75" customHeight="1">
      <c r="A11" s="19"/>
      <c r="B11" s="19"/>
      <c r="C11" s="19"/>
      <c r="D11" s="19"/>
      <c r="E11" s="19"/>
      <c r="F11" s="19"/>
      <c r="G11" s="19"/>
      <c r="H11" s="19"/>
      <c r="I11" s="19"/>
      <c r="J11" s="19"/>
      <c r="K11" s="19"/>
      <c r="L11" s="19"/>
      <c r="M11" s="19"/>
      <c r="N11" s="91"/>
      <c r="O11" s="19"/>
      <c r="P11" s="19"/>
      <c r="Q11" s="19"/>
      <c r="R11" s="19"/>
      <c r="S11" s="19"/>
      <c r="T11" s="19"/>
      <c r="U11" s="19"/>
    </row>
    <row r="12" spans="1:21" ht="13.75" customHeight="1">
      <c r="A12" s="19"/>
      <c r="B12" s="19"/>
      <c r="C12" s="19"/>
      <c r="D12" s="19"/>
      <c r="E12" s="19"/>
      <c r="F12" s="19"/>
      <c r="G12" s="19"/>
      <c r="H12" s="19"/>
      <c r="I12" s="19"/>
      <c r="J12" s="19"/>
      <c r="K12" s="19"/>
      <c r="L12" s="19"/>
      <c r="M12" s="19"/>
      <c r="N12" s="91"/>
      <c r="O12" s="19"/>
      <c r="P12" s="19"/>
      <c r="Q12" s="19"/>
      <c r="R12" s="19"/>
      <c r="S12" s="19"/>
      <c r="T12" s="19"/>
      <c r="U12" s="19"/>
    </row>
    <row r="13" spans="1:21" ht="13.75" customHeight="1">
      <c r="A13" s="19"/>
      <c r="B13" s="19"/>
      <c r="C13" s="19"/>
      <c r="D13" s="19"/>
      <c r="E13" s="19"/>
      <c r="F13" s="19"/>
      <c r="G13" s="19"/>
      <c r="H13" s="19"/>
      <c r="I13" s="19"/>
      <c r="J13" s="19"/>
      <c r="K13" s="19"/>
      <c r="L13" s="19"/>
      <c r="M13" s="19"/>
      <c r="N13" s="91"/>
      <c r="O13" s="19"/>
      <c r="P13" s="19"/>
      <c r="Q13" s="19"/>
      <c r="R13" s="19"/>
      <c r="S13" s="19"/>
      <c r="T13" s="19"/>
      <c r="U13" s="19"/>
    </row>
    <row r="14" spans="1:21" ht="13.75" customHeight="1">
      <c r="A14" s="19"/>
      <c r="B14" s="19"/>
      <c r="C14" s="19"/>
      <c r="D14" s="19"/>
      <c r="E14" s="19"/>
      <c r="F14" s="19"/>
      <c r="G14" s="19"/>
      <c r="H14" s="19"/>
      <c r="I14" s="19"/>
      <c r="J14" s="19"/>
      <c r="K14" s="19"/>
      <c r="L14" s="19"/>
      <c r="M14" s="19"/>
      <c r="N14" s="91"/>
      <c r="O14" s="19"/>
      <c r="P14" s="19"/>
      <c r="Q14" s="19"/>
      <c r="R14" s="19"/>
      <c r="S14" s="19"/>
      <c r="T14" s="19"/>
      <c r="U14" s="19"/>
    </row>
    <row r="15" spans="1:21" ht="13.75" customHeight="1">
      <c r="A15" s="19"/>
      <c r="B15" s="19"/>
      <c r="C15" s="19"/>
      <c r="D15" s="19"/>
      <c r="E15" s="19"/>
      <c r="F15" s="19"/>
      <c r="G15" s="19"/>
      <c r="H15" s="19"/>
      <c r="I15" s="19"/>
      <c r="J15" s="19"/>
      <c r="K15" s="19"/>
      <c r="L15" s="19"/>
      <c r="M15" s="19"/>
      <c r="N15" s="91"/>
      <c r="O15" s="19"/>
      <c r="P15" s="19"/>
      <c r="Q15" s="19"/>
      <c r="R15" s="19"/>
      <c r="S15" s="19"/>
      <c r="T15" s="19"/>
      <c r="U15" s="19"/>
    </row>
    <row r="16" spans="1:21" ht="13.75" customHeight="1">
      <c r="A16" s="19"/>
      <c r="B16" s="19"/>
      <c r="C16" s="19"/>
      <c r="D16" s="19"/>
      <c r="E16" s="19"/>
      <c r="F16" s="19"/>
      <c r="G16" s="19"/>
      <c r="H16" s="19"/>
      <c r="I16" s="19"/>
      <c r="J16" s="19"/>
      <c r="K16" s="19"/>
      <c r="L16" s="19"/>
      <c r="M16" s="19"/>
      <c r="N16" s="91"/>
      <c r="O16" s="19"/>
      <c r="P16" s="19"/>
      <c r="Q16" s="19"/>
      <c r="R16" s="19"/>
      <c r="S16" s="19"/>
      <c r="T16" s="19"/>
      <c r="U16" s="19"/>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
  <sheetViews>
    <sheetView showGridLines="0" workbookViewId="0"/>
  </sheetViews>
  <sheetFormatPr baseColWidth="10" defaultColWidth="10.5" defaultRowHeight="13" customHeight="1"/>
  <cols>
    <col min="1" max="1" width="5.83203125" style="4" customWidth="1"/>
    <col min="2" max="2" width="14.5" style="4" customWidth="1"/>
    <col min="3" max="3" width="31.1640625" style="4" customWidth="1"/>
    <col min="4" max="4" width="8.1640625" style="4" customWidth="1"/>
    <col min="5" max="5" width="9.5" style="4" customWidth="1"/>
    <col min="6" max="6" width="8.5" style="4" customWidth="1"/>
    <col min="7" max="7" width="10.5" style="4" customWidth="1"/>
    <col min="8" max="8" width="13.5" style="4" customWidth="1"/>
    <col min="9" max="9" width="10.5" style="4" customWidth="1"/>
    <col min="10" max="16384" width="10.5" style="4"/>
  </cols>
  <sheetData>
    <row r="1" spans="1:8" ht="26" customHeight="1">
      <c r="A1" s="172" t="s">
        <v>271</v>
      </c>
      <c r="B1" s="172" t="s">
        <v>272</v>
      </c>
      <c r="C1" s="172" t="s">
        <v>273</v>
      </c>
      <c r="D1" s="172" t="s">
        <v>274</v>
      </c>
      <c r="E1" s="172" t="s">
        <v>275</v>
      </c>
      <c r="F1" s="172" t="s">
        <v>276</v>
      </c>
      <c r="G1" s="172" t="s">
        <v>277</v>
      </c>
      <c r="H1" s="172" t="s">
        <v>278</v>
      </c>
    </row>
    <row r="2" spans="1:8" ht="13.75" customHeight="1">
      <c r="A2" s="173">
        <v>1</v>
      </c>
      <c r="B2" s="134"/>
      <c r="C2" s="134"/>
      <c r="D2" s="134"/>
      <c r="E2" s="32"/>
      <c r="F2" s="32"/>
      <c r="G2" s="32"/>
      <c r="H2" s="134"/>
    </row>
    <row r="3" spans="1:8" ht="13.75" customHeight="1">
      <c r="A3" s="173">
        <v>2</v>
      </c>
      <c r="B3" s="134"/>
      <c r="C3" s="134"/>
      <c r="D3" s="134"/>
      <c r="E3" s="32"/>
      <c r="F3" s="32"/>
      <c r="G3" s="32"/>
      <c r="H3" s="134"/>
    </row>
    <row r="4" spans="1:8" ht="13.75" customHeight="1">
      <c r="A4" s="134"/>
      <c r="B4" s="134"/>
      <c r="C4" s="134"/>
      <c r="D4" s="174"/>
      <c r="E4" s="175">
        <f>SUM(E2:E3)</f>
        <v>0</v>
      </c>
      <c r="F4" s="175">
        <f>SUM(F2:F3)</f>
        <v>0</v>
      </c>
      <c r="G4" s="175">
        <f>SUM(G2:G3)</f>
        <v>0</v>
      </c>
      <c r="H4" s="134"/>
    </row>
    <row r="5" spans="1:8" ht="13.5" customHeight="1">
      <c r="A5" s="100"/>
      <c r="B5" s="100"/>
      <c r="C5" s="100"/>
      <c r="D5" s="100"/>
      <c r="E5" s="100"/>
      <c r="F5" s="100"/>
      <c r="G5" s="100"/>
      <c r="H5" s="100"/>
    </row>
    <row r="6" spans="1:8" ht="13.5" customHeight="1">
      <c r="A6" s="19"/>
      <c r="B6" s="19"/>
      <c r="C6" s="19"/>
      <c r="D6" s="19"/>
      <c r="E6" s="19"/>
      <c r="F6" s="19"/>
      <c r="G6" s="19"/>
      <c r="H6" s="19"/>
    </row>
    <row r="7" spans="1:8" ht="13.5" customHeight="1">
      <c r="A7" s="19"/>
      <c r="B7" s="19"/>
      <c r="C7" s="19"/>
      <c r="D7" s="19"/>
      <c r="E7" s="19"/>
      <c r="F7" s="19"/>
      <c r="G7" s="19"/>
      <c r="H7" s="19"/>
    </row>
    <row r="8" spans="1:8" ht="13.5" customHeight="1">
      <c r="A8" s="19"/>
      <c r="B8" s="19"/>
      <c r="C8" s="19"/>
      <c r="D8" s="19"/>
      <c r="E8" s="19"/>
      <c r="F8" s="19"/>
      <c r="G8" s="19"/>
      <c r="H8" s="19"/>
    </row>
    <row r="9" spans="1:8" ht="13.5" customHeight="1">
      <c r="A9" s="19"/>
      <c r="B9" s="19"/>
      <c r="C9" s="19"/>
      <c r="D9" s="19"/>
      <c r="E9" s="19"/>
      <c r="F9" s="19"/>
      <c r="G9" s="19"/>
      <c r="H9" s="19"/>
    </row>
    <row r="10" spans="1:8" ht="13.5" customHeight="1">
      <c r="A10" s="19"/>
      <c r="B10" s="19"/>
      <c r="C10" s="19"/>
      <c r="D10" s="19"/>
      <c r="E10" s="19"/>
      <c r="F10" s="19"/>
      <c r="G10" s="19"/>
      <c r="H10" s="19"/>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8"/>
  <sheetViews>
    <sheetView showGridLines="0" workbookViewId="0">
      <selection activeCell="C16" sqref="C16"/>
    </sheetView>
  </sheetViews>
  <sheetFormatPr baseColWidth="10" defaultColWidth="9.1640625" defaultRowHeight="14.5" customHeight="1"/>
  <cols>
    <col min="1" max="1" width="23" style="4" customWidth="1"/>
    <col min="2" max="2" width="19.33203125" style="4" customWidth="1"/>
    <col min="3" max="3" width="13.5" style="4" customWidth="1"/>
    <col min="4" max="4" width="13.6640625" style="4" customWidth="1"/>
    <col min="5" max="6" width="9.1640625" style="4" customWidth="1"/>
    <col min="7" max="16384" width="9.1640625" style="4"/>
  </cols>
  <sheetData>
    <row r="1" spans="1:5" ht="15" customHeight="1">
      <c r="A1" s="425" t="s">
        <v>279</v>
      </c>
      <c r="B1" s="426"/>
      <c r="C1" s="426"/>
      <c r="D1" s="427"/>
      <c r="E1" s="176"/>
    </row>
    <row r="2" spans="1:5" ht="14" customHeight="1">
      <c r="A2" s="428" t="s">
        <v>280</v>
      </c>
      <c r="B2" s="429"/>
      <c r="C2" s="429"/>
      <c r="D2" s="430"/>
      <c r="E2" s="176"/>
    </row>
    <row r="3" spans="1:5" ht="29" customHeight="1">
      <c r="A3" s="26" t="s">
        <v>281</v>
      </c>
      <c r="B3" s="177" t="s">
        <v>264</v>
      </c>
      <c r="C3" s="177" t="s">
        <v>265</v>
      </c>
      <c r="D3" s="177" t="s">
        <v>282</v>
      </c>
      <c r="E3" s="87"/>
    </row>
    <row r="4" spans="1:5" ht="13.5" customHeight="1">
      <c r="A4" s="178" t="s">
        <v>283</v>
      </c>
      <c r="B4" s="179">
        <v>2</v>
      </c>
      <c r="C4" s="179">
        <v>2</v>
      </c>
      <c r="D4" s="32">
        <f t="shared" ref="D4:D11" si="0">B4-C4</f>
        <v>0</v>
      </c>
      <c r="E4" s="180"/>
    </row>
    <row r="5" spans="1:5" ht="13.5" customHeight="1">
      <c r="A5" s="178" t="s">
        <v>284</v>
      </c>
      <c r="B5" s="179"/>
      <c r="C5" s="179"/>
      <c r="D5" s="32">
        <f t="shared" si="0"/>
        <v>0</v>
      </c>
      <c r="E5" s="180"/>
    </row>
    <row r="6" spans="1:5" ht="13.5" customHeight="1">
      <c r="A6" s="178" t="s">
        <v>285</v>
      </c>
      <c r="B6" s="179"/>
      <c r="C6" s="179"/>
      <c r="D6" s="32">
        <f t="shared" si="0"/>
        <v>0</v>
      </c>
      <c r="E6" s="180"/>
    </row>
    <row r="7" spans="1:5" ht="13.5" customHeight="1">
      <c r="A7" s="178" t="s">
        <v>286</v>
      </c>
      <c r="B7" s="179"/>
      <c r="C7" s="179"/>
      <c r="D7" s="32">
        <f t="shared" si="0"/>
        <v>0</v>
      </c>
      <c r="E7" s="180"/>
    </row>
    <row r="8" spans="1:5" ht="13.5" customHeight="1">
      <c r="A8" s="178" t="s">
        <v>287</v>
      </c>
      <c r="B8" s="179">
        <v>35</v>
      </c>
      <c r="C8" s="179">
        <v>25</v>
      </c>
      <c r="D8" s="32">
        <f t="shared" si="0"/>
        <v>10</v>
      </c>
      <c r="E8" s="180"/>
    </row>
    <row r="9" spans="1:5" ht="13.5" customHeight="1">
      <c r="A9" s="178" t="s">
        <v>288</v>
      </c>
      <c r="B9" s="179">
        <v>43</v>
      </c>
      <c r="C9" s="179">
        <v>5</v>
      </c>
      <c r="D9" s="32">
        <f t="shared" si="0"/>
        <v>38</v>
      </c>
      <c r="E9" s="180"/>
    </row>
    <row r="10" spans="1:5" ht="13.5" customHeight="1">
      <c r="A10" s="178" t="s">
        <v>289</v>
      </c>
      <c r="B10" s="179">
        <v>5</v>
      </c>
      <c r="C10" s="179">
        <v>0.25</v>
      </c>
      <c r="D10" s="32">
        <f t="shared" si="0"/>
        <v>4.75</v>
      </c>
      <c r="E10" s="180"/>
    </row>
    <row r="11" spans="1:5" ht="13.5" customHeight="1">
      <c r="A11" s="178" t="s">
        <v>290</v>
      </c>
      <c r="B11" s="179">
        <v>10</v>
      </c>
      <c r="C11" s="179">
        <v>0.5</v>
      </c>
      <c r="D11" s="32">
        <f t="shared" si="0"/>
        <v>9.5</v>
      </c>
      <c r="E11" s="180"/>
    </row>
    <row r="12" spans="1:5" ht="13.5" customHeight="1">
      <c r="A12" s="181" t="s">
        <v>291</v>
      </c>
      <c r="B12" s="179">
        <f>SUM(B4:B11)</f>
        <v>95</v>
      </c>
      <c r="C12" s="179">
        <f>SUM(C4:C11)</f>
        <v>32.75</v>
      </c>
      <c r="D12" s="179">
        <f>SUM(D4:D11)</f>
        <v>62.25</v>
      </c>
      <c r="E12" s="180"/>
    </row>
    <row r="13" spans="1:5" ht="13.5" customHeight="1">
      <c r="A13" s="134"/>
      <c r="B13" s="32"/>
      <c r="C13" s="32"/>
      <c r="D13" s="32"/>
      <c r="E13" s="180"/>
    </row>
    <row r="14" spans="1:5" ht="13.5" customHeight="1">
      <c r="A14" s="26" t="s">
        <v>292</v>
      </c>
      <c r="B14" s="32"/>
      <c r="C14" s="32"/>
      <c r="D14" s="32"/>
      <c r="E14" s="180"/>
    </row>
    <row r="15" spans="1:5" ht="13.5" customHeight="1">
      <c r="A15" s="26" t="s">
        <v>293</v>
      </c>
      <c r="B15" s="32">
        <v>35</v>
      </c>
      <c r="C15" s="32">
        <v>2</v>
      </c>
      <c r="D15" s="32">
        <f>B15-C15</f>
        <v>33</v>
      </c>
      <c r="E15" s="180"/>
    </row>
    <row r="16" spans="1:5" ht="13.5" customHeight="1">
      <c r="A16" s="26" t="s">
        <v>294</v>
      </c>
      <c r="B16" s="32">
        <v>25</v>
      </c>
      <c r="C16" s="32">
        <v>23</v>
      </c>
      <c r="D16" s="32">
        <f>B16-C16</f>
        <v>2</v>
      </c>
      <c r="E16" s="180"/>
    </row>
    <row r="17" spans="1:5" ht="13.5" customHeight="1">
      <c r="A17" s="26" t="s">
        <v>295</v>
      </c>
      <c r="B17" s="32">
        <v>35</v>
      </c>
      <c r="C17" s="32">
        <v>8</v>
      </c>
      <c r="D17" s="32">
        <f>B17-C17</f>
        <v>27</v>
      </c>
      <c r="E17" s="180"/>
    </row>
    <row r="18" spans="1:5" ht="13.5" customHeight="1">
      <c r="A18" s="182" t="s">
        <v>296</v>
      </c>
      <c r="B18" s="183">
        <f>SUM(B15:B17)</f>
        <v>95</v>
      </c>
      <c r="C18" s="183">
        <f>SUM(C15:C17)</f>
        <v>33</v>
      </c>
      <c r="D18" s="183">
        <f>SUM(D15:D17)</f>
        <v>62</v>
      </c>
      <c r="E18" s="180"/>
    </row>
    <row r="19" spans="1:5" ht="13.5" customHeight="1">
      <c r="A19" s="100"/>
      <c r="B19" s="184"/>
      <c r="C19" s="184"/>
      <c r="D19" s="184"/>
      <c r="E19" s="185"/>
    </row>
    <row r="20" spans="1:5" ht="13.5" customHeight="1">
      <c r="A20" s="19"/>
      <c r="B20" s="185"/>
      <c r="C20" s="185"/>
      <c r="D20" s="185"/>
      <c r="E20" s="185"/>
    </row>
    <row r="21" spans="1:5" ht="13.5" customHeight="1">
      <c r="A21" s="19"/>
      <c r="B21" s="185"/>
      <c r="C21" s="185"/>
      <c r="D21" s="185"/>
      <c r="E21" s="185"/>
    </row>
    <row r="22" spans="1:5" ht="13.5" customHeight="1">
      <c r="A22" s="19"/>
      <c r="B22" s="185"/>
      <c r="C22" s="185"/>
      <c r="D22" s="185"/>
      <c r="E22" s="185"/>
    </row>
    <row r="23" spans="1:5" ht="13.5" customHeight="1">
      <c r="A23" s="19"/>
      <c r="B23" s="185"/>
      <c r="C23" s="185"/>
      <c r="D23" s="185"/>
      <c r="E23" s="185"/>
    </row>
    <row r="24" spans="1:5" ht="13.5" customHeight="1">
      <c r="A24" s="19"/>
      <c r="B24" s="185"/>
      <c r="C24" s="185"/>
      <c r="D24" s="185"/>
      <c r="E24" s="185"/>
    </row>
    <row r="25" spans="1:5" ht="13.5" customHeight="1">
      <c r="A25" s="19"/>
      <c r="B25" s="185"/>
      <c r="C25" s="185"/>
      <c r="D25" s="185"/>
      <c r="E25" s="185"/>
    </row>
    <row r="26" spans="1:5" ht="13.5" customHeight="1">
      <c r="A26" s="19"/>
      <c r="B26" s="185"/>
      <c r="C26" s="185"/>
      <c r="D26" s="185"/>
      <c r="E26" s="185"/>
    </row>
    <row r="27" spans="1:5" ht="13.5" customHeight="1">
      <c r="A27" s="19"/>
      <c r="B27" s="185"/>
      <c r="C27" s="185"/>
      <c r="D27" s="185"/>
      <c r="E27" s="185"/>
    </row>
    <row r="28" spans="1:5" ht="13.5" customHeight="1">
      <c r="A28" s="19"/>
      <c r="B28" s="185"/>
      <c r="C28" s="185"/>
      <c r="D28" s="185"/>
      <c r="E28" s="185"/>
    </row>
  </sheetData>
  <mergeCells count="2">
    <mergeCell ref="A1:D1"/>
    <mergeCell ref="A2:D2"/>
  </mergeCells>
  <pageMargins left="0.7" right="0.7" top="0.75" bottom="0.75" header="0.3" footer="0.3"/>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9"/>
  <sheetViews>
    <sheetView showGridLines="0" workbookViewId="0"/>
  </sheetViews>
  <sheetFormatPr baseColWidth="10" defaultColWidth="13.33203125" defaultRowHeight="17.5" customHeight="1"/>
  <cols>
    <col min="1" max="8" width="13.33203125" style="4" customWidth="1"/>
    <col min="9" max="16384" width="13.33203125" style="4"/>
  </cols>
  <sheetData>
    <row r="1" spans="1:7" ht="12.25" customHeight="1">
      <c r="A1" s="431" t="s">
        <v>15</v>
      </c>
      <c r="B1" s="432"/>
      <c r="C1" s="432"/>
      <c r="D1" s="432"/>
      <c r="E1" s="432"/>
      <c r="F1" s="432"/>
      <c r="G1" s="433"/>
    </row>
    <row r="2" spans="1:7" ht="15.25" customHeight="1">
      <c r="A2" s="186" t="s">
        <v>298</v>
      </c>
      <c r="B2" s="187" t="s">
        <v>299</v>
      </c>
      <c r="C2" s="188" t="s">
        <v>300</v>
      </c>
      <c r="D2" s="189" t="s">
        <v>301</v>
      </c>
      <c r="E2" s="190" t="s">
        <v>302</v>
      </c>
      <c r="F2" s="190" t="s">
        <v>303</v>
      </c>
      <c r="G2" s="191" t="s">
        <v>304</v>
      </c>
    </row>
    <row r="3" spans="1:7" ht="9" hidden="1" customHeight="1">
      <c r="A3" s="192">
        <v>41640</v>
      </c>
      <c r="B3" s="193">
        <v>44013</v>
      </c>
      <c r="C3" s="194">
        <v>44013</v>
      </c>
      <c r="D3" s="195">
        <v>17587</v>
      </c>
      <c r="E3" s="196">
        <v>53408445</v>
      </c>
      <c r="F3" s="196">
        <v>55031325</v>
      </c>
      <c r="G3" s="197">
        <v>13</v>
      </c>
    </row>
    <row r="4" spans="1:7" ht="9" hidden="1" customHeight="1">
      <c r="A4" s="198"/>
      <c r="B4" s="199"/>
      <c r="C4" s="194">
        <v>44044</v>
      </c>
      <c r="D4" s="195">
        <v>8423</v>
      </c>
      <c r="E4" s="196">
        <v>27050551</v>
      </c>
      <c r="F4" s="196">
        <v>27409625</v>
      </c>
      <c r="G4" s="197">
        <v>7</v>
      </c>
    </row>
    <row r="5" spans="1:7" ht="9" hidden="1" customHeight="1">
      <c r="A5" s="198"/>
      <c r="B5" s="199"/>
      <c r="C5" s="194">
        <v>44075</v>
      </c>
      <c r="D5" s="195">
        <v>12343</v>
      </c>
      <c r="E5" s="196">
        <v>39783228</v>
      </c>
      <c r="F5" s="196">
        <v>40492334</v>
      </c>
      <c r="G5" s="197">
        <v>9</v>
      </c>
    </row>
    <row r="6" spans="1:7" ht="9" hidden="1" customHeight="1">
      <c r="A6" s="198"/>
      <c r="B6" s="193">
        <v>44013</v>
      </c>
      <c r="C6" s="200"/>
      <c r="D6" s="195">
        <v>38353</v>
      </c>
      <c r="E6" s="196">
        <v>120242224</v>
      </c>
      <c r="F6" s="196">
        <v>122933284</v>
      </c>
      <c r="G6" s="197">
        <v>29</v>
      </c>
    </row>
    <row r="7" spans="1:7" ht="9" hidden="1" customHeight="1">
      <c r="A7" s="198"/>
      <c r="B7" s="193">
        <v>44105</v>
      </c>
      <c r="C7" s="194">
        <v>44105</v>
      </c>
      <c r="D7" s="195">
        <v>20302</v>
      </c>
      <c r="E7" s="196">
        <v>64356642</v>
      </c>
      <c r="F7" s="196">
        <v>66933653</v>
      </c>
      <c r="G7" s="197">
        <v>16</v>
      </c>
    </row>
    <row r="8" spans="1:7" ht="9" hidden="1" customHeight="1">
      <c r="A8" s="198"/>
      <c r="B8" s="199"/>
      <c r="C8" s="194">
        <v>44136</v>
      </c>
      <c r="D8" s="195">
        <v>13585</v>
      </c>
      <c r="E8" s="196">
        <v>45289300</v>
      </c>
      <c r="F8" s="196">
        <v>46498575</v>
      </c>
      <c r="G8" s="197">
        <v>10</v>
      </c>
    </row>
    <row r="9" spans="1:7" ht="9" hidden="1" customHeight="1">
      <c r="A9" s="198"/>
      <c r="B9" s="199"/>
      <c r="C9" s="194">
        <v>44166</v>
      </c>
      <c r="D9" s="195">
        <v>14176</v>
      </c>
      <c r="E9" s="196">
        <v>46303393</v>
      </c>
      <c r="F9" s="196">
        <v>47775627</v>
      </c>
      <c r="G9" s="197">
        <v>10</v>
      </c>
    </row>
    <row r="10" spans="1:7" ht="9" hidden="1" customHeight="1">
      <c r="A10" s="198"/>
      <c r="B10" s="193">
        <v>44105</v>
      </c>
      <c r="C10" s="200"/>
      <c r="D10" s="195">
        <v>48063</v>
      </c>
      <c r="E10" s="196">
        <v>155949335</v>
      </c>
      <c r="F10" s="196">
        <v>161207855</v>
      </c>
      <c r="G10" s="197">
        <v>36</v>
      </c>
    </row>
    <row r="11" spans="1:7" ht="9" hidden="1" customHeight="1">
      <c r="A11" s="192">
        <v>41640</v>
      </c>
      <c r="B11" s="199"/>
      <c r="C11" s="200"/>
      <c r="D11" s="195">
        <v>86416</v>
      </c>
      <c r="E11" s="196">
        <v>276191559</v>
      </c>
      <c r="F11" s="196">
        <v>284141139</v>
      </c>
      <c r="G11" s="197">
        <v>65</v>
      </c>
    </row>
    <row r="12" spans="1:7" ht="9" hidden="1" customHeight="1">
      <c r="A12" s="192">
        <v>42005</v>
      </c>
      <c r="B12" s="193">
        <v>43831</v>
      </c>
      <c r="C12" s="194">
        <v>43831</v>
      </c>
      <c r="D12" s="195">
        <v>13121</v>
      </c>
      <c r="E12" s="196">
        <v>42108347</v>
      </c>
      <c r="F12" s="196">
        <v>43887914</v>
      </c>
      <c r="G12" s="197">
        <v>10</v>
      </c>
    </row>
    <row r="13" spans="1:7" ht="9" hidden="1" customHeight="1">
      <c r="A13" s="198"/>
      <c r="B13" s="199"/>
      <c r="C13" s="194">
        <v>43862</v>
      </c>
      <c r="D13" s="195">
        <v>14744</v>
      </c>
      <c r="E13" s="196">
        <v>48723175</v>
      </c>
      <c r="F13" s="196">
        <v>50484142</v>
      </c>
      <c r="G13" s="197">
        <v>11</v>
      </c>
    </row>
    <row r="14" spans="1:7" ht="9" hidden="1" customHeight="1">
      <c r="A14" s="198"/>
      <c r="B14" s="199"/>
      <c r="C14" s="194">
        <v>43891</v>
      </c>
      <c r="D14" s="195">
        <v>7877</v>
      </c>
      <c r="E14" s="196">
        <v>25792324</v>
      </c>
      <c r="F14" s="196">
        <v>26422396</v>
      </c>
      <c r="G14" s="197">
        <v>6</v>
      </c>
    </row>
    <row r="15" spans="1:7" ht="9" hidden="1" customHeight="1">
      <c r="A15" s="198"/>
      <c r="B15" s="193">
        <v>43831</v>
      </c>
      <c r="C15" s="200"/>
      <c r="D15" s="195">
        <v>35742</v>
      </c>
      <c r="E15" s="196">
        <v>116623846</v>
      </c>
      <c r="F15" s="196">
        <v>120794452</v>
      </c>
      <c r="G15" s="197">
        <v>27</v>
      </c>
    </row>
    <row r="16" spans="1:7" ht="9" hidden="1" customHeight="1">
      <c r="A16" s="198"/>
      <c r="B16" s="193">
        <v>43922</v>
      </c>
      <c r="C16" s="194">
        <v>43922</v>
      </c>
      <c r="D16" s="195">
        <v>3411</v>
      </c>
      <c r="E16" s="196">
        <v>10450217</v>
      </c>
      <c r="F16" s="196">
        <v>11106460</v>
      </c>
      <c r="G16" s="197">
        <v>3</v>
      </c>
    </row>
    <row r="17" spans="1:7" ht="9" hidden="1" customHeight="1">
      <c r="A17" s="198"/>
      <c r="B17" s="199"/>
      <c r="C17" s="194">
        <v>43952</v>
      </c>
      <c r="D17" s="195">
        <v>6349</v>
      </c>
      <c r="E17" s="196">
        <v>21774749</v>
      </c>
      <c r="F17" s="196">
        <v>22747874</v>
      </c>
      <c r="G17" s="197">
        <v>4</v>
      </c>
    </row>
    <row r="18" spans="1:7" ht="9" hidden="1" customHeight="1">
      <c r="A18" s="198"/>
      <c r="B18" s="199"/>
      <c r="C18" s="194">
        <v>43983</v>
      </c>
      <c r="D18" s="195">
        <v>10615</v>
      </c>
      <c r="E18" s="196">
        <v>34698573</v>
      </c>
      <c r="F18" s="196">
        <v>35793047</v>
      </c>
      <c r="G18" s="197">
        <v>8</v>
      </c>
    </row>
    <row r="19" spans="1:7" ht="9" hidden="1" customHeight="1">
      <c r="A19" s="198"/>
      <c r="B19" s="193">
        <v>43922</v>
      </c>
      <c r="C19" s="200"/>
      <c r="D19" s="195">
        <v>20375</v>
      </c>
      <c r="E19" s="196">
        <v>66923539</v>
      </c>
      <c r="F19" s="196">
        <v>69647381</v>
      </c>
      <c r="G19" s="197">
        <v>15</v>
      </c>
    </row>
    <row r="20" spans="1:7" ht="9" hidden="1" customHeight="1">
      <c r="A20" s="198"/>
      <c r="B20" s="193">
        <v>44013</v>
      </c>
      <c r="C20" s="194">
        <v>44013</v>
      </c>
      <c r="D20" s="195">
        <v>7750</v>
      </c>
      <c r="E20" s="196">
        <v>27827250</v>
      </c>
      <c r="F20" s="196">
        <v>28454676</v>
      </c>
      <c r="G20" s="197">
        <v>6</v>
      </c>
    </row>
    <row r="21" spans="1:7" ht="9" hidden="1" customHeight="1">
      <c r="A21" s="198"/>
      <c r="B21" s="199"/>
      <c r="C21" s="194">
        <v>44044</v>
      </c>
      <c r="D21" s="195">
        <v>1137</v>
      </c>
      <c r="E21" s="196">
        <v>3803125</v>
      </c>
      <c r="F21" s="196">
        <v>3966695</v>
      </c>
      <c r="G21" s="197">
        <v>1</v>
      </c>
    </row>
    <row r="22" spans="1:7" ht="9" hidden="1" customHeight="1">
      <c r="A22" s="198"/>
      <c r="B22" s="199"/>
      <c r="C22" s="194">
        <v>44075</v>
      </c>
      <c r="D22" s="195">
        <v>4107</v>
      </c>
      <c r="E22" s="196">
        <v>13296569</v>
      </c>
      <c r="F22" s="196">
        <v>14645770</v>
      </c>
      <c r="G22" s="197">
        <v>3</v>
      </c>
    </row>
    <row r="23" spans="1:7" ht="9" hidden="1" customHeight="1">
      <c r="A23" s="198"/>
      <c r="B23" s="193">
        <v>44013</v>
      </c>
      <c r="C23" s="200"/>
      <c r="D23" s="195">
        <v>12994</v>
      </c>
      <c r="E23" s="196">
        <v>44926944</v>
      </c>
      <c r="F23" s="196">
        <v>47067141</v>
      </c>
      <c r="G23" s="197">
        <v>10</v>
      </c>
    </row>
    <row r="24" spans="1:7" ht="9" hidden="1" customHeight="1">
      <c r="A24" s="198"/>
      <c r="B24" s="193">
        <v>44105</v>
      </c>
      <c r="C24" s="194">
        <v>44105</v>
      </c>
      <c r="D24" s="195">
        <v>2865</v>
      </c>
      <c r="E24" s="196">
        <v>7307471</v>
      </c>
      <c r="F24" s="196">
        <v>7549405</v>
      </c>
      <c r="G24" s="197">
        <v>2</v>
      </c>
    </row>
    <row r="25" spans="1:7" ht="9" hidden="1" customHeight="1">
      <c r="A25" s="198"/>
      <c r="B25" s="199"/>
      <c r="C25" s="194">
        <v>44136</v>
      </c>
      <c r="D25" s="195">
        <v>2115</v>
      </c>
      <c r="E25" s="196">
        <v>4974479</v>
      </c>
      <c r="F25" s="196">
        <v>5271080</v>
      </c>
      <c r="G25" s="197">
        <v>1</v>
      </c>
    </row>
    <row r="26" spans="1:7" ht="9" hidden="1" customHeight="1">
      <c r="A26" s="198"/>
      <c r="B26" s="199"/>
      <c r="C26" s="194">
        <v>44166</v>
      </c>
      <c r="D26" s="195">
        <v>25138</v>
      </c>
      <c r="E26" s="196">
        <v>52008485</v>
      </c>
      <c r="F26" s="196">
        <v>53404695</v>
      </c>
      <c r="G26" s="197">
        <v>17</v>
      </c>
    </row>
    <row r="27" spans="1:7" ht="9" hidden="1" customHeight="1">
      <c r="A27" s="198"/>
      <c r="B27" s="193">
        <v>44105</v>
      </c>
      <c r="C27" s="200"/>
      <c r="D27" s="195">
        <v>30118</v>
      </c>
      <c r="E27" s="196">
        <v>64290435</v>
      </c>
      <c r="F27" s="196">
        <v>66225180</v>
      </c>
      <c r="G27" s="197">
        <v>20</v>
      </c>
    </row>
    <row r="28" spans="1:7" ht="9" hidden="1" customHeight="1">
      <c r="A28" s="192">
        <v>42005</v>
      </c>
      <c r="B28" s="199"/>
      <c r="C28" s="200"/>
      <c r="D28" s="195">
        <v>99229</v>
      </c>
      <c r="E28" s="196">
        <v>292764764</v>
      </c>
      <c r="F28" s="196">
        <v>303734154</v>
      </c>
      <c r="G28" s="197">
        <v>72</v>
      </c>
    </row>
    <row r="29" spans="1:7" ht="9" hidden="1" customHeight="1">
      <c r="A29" s="192">
        <v>42370</v>
      </c>
      <c r="B29" s="193">
        <v>43831</v>
      </c>
      <c r="C29" s="194">
        <v>43831</v>
      </c>
      <c r="D29" s="195">
        <v>9930</v>
      </c>
      <c r="E29" s="196">
        <v>25694632</v>
      </c>
      <c r="F29" s="196">
        <v>28734621</v>
      </c>
      <c r="G29" s="197">
        <v>6</v>
      </c>
    </row>
    <row r="30" spans="1:7" ht="9" hidden="1" customHeight="1">
      <c r="A30" s="198"/>
      <c r="B30" s="199"/>
      <c r="C30" s="194">
        <v>43862</v>
      </c>
      <c r="D30" s="195">
        <v>3456</v>
      </c>
      <c r="E30" s="196">
        <v>9832081</v>
      </c>
      <c r="F30" s="196">
        <v>10315940</v>
      </c>
      <c r="G30" s="197">
        <v>2</v>
      </c>
    </row>
    <row r="31" spans="1:7" ht="9" hidden="1" customHeight="1">
      <c r="A31" s="198"/>
      <c r="B31" s="199"/>
      <c r="C31" s="194">
        <v>43891</v>
      </c>
      <c r="D31" s="195">
        <v>4853</v>
      </c>
      <c r="E31" s="196">
        <v>11631998</v>
      </c>
      <c r="F31" s="196">
        <v>12757021</v>
      </c>
      <c r="G31" s="197">
        <v>3</v>
      </c>
    </row>
    <row r="32" spans="1:7" ht="9" hidden="1" customHeight="1">
      <c r="A32" s="198"/>
      <c r="B32" s="193">
        <v>43831</v>
      </c>
      <c r="C32" s="200"/>
      <c r="D32" s="195">
        <v>18239</v>
      </c>
      <c r="E32" s="196">
        <v>47158711</v>
      </c>
      <c r="F32" s="196">
        <v>51807582</v>
      </c>
      <c r="G32" s="197">
        <v>11</v>
      </c>
    </row>
    <row r="33" spans="1:7" ht="9" hidden="1" customHeight="1">
      <c r="A33" s="198"/>
      <c r="B33" s="193">
        <v>43922</v>
      </c>
      <c r="C33" s="194">
        <v>43922</v>
      </c>
      <c r="D33" s="195">
        <v>3875</v>
      </c>
      <c r="E33" s="196">
        <v>13406346</v>
      </c>
      <c r="F33" s="196">
        <v>13824630</v>
      </c>
      <c r="G33" s="197">
        <v>3</v>
      </c>
    </row>
    <row r="34" spans="1:7" ht="9" hidden="1" customHeight="1">
      <c r="A34" s="198"/>
      <c r="B34" s="199"/>
      <c r="C34" s="194">
        <v>43952</v>
      </c>
      <c r="D34" s="195">
        <v>6972</v>
      </c>
      <c r="E34" s="196">
        <v>22409091</v>
      </c>
      <c r="F34" s="196">
        <v>24048392</v>
      </c>
      <c r="G34" s="197">
        <v>5</v>
      </c>
    </row>
    <row r="35" spans="1:7" ht="9" hidden="1" customHeight="1">
      <c r="A35" s="198"/>
      <c r="B35" s="199"/>
      <c r="C35" s="194">
        <v>43983</v>
      </c>
      <c r="D35" s="195">
        <v>3643</v>
      </c>
      <c r="E35" s="196">
        <v>11606019</v>
      </c>
      <c r="F35" s="196">
        <v>12494616</v>
      </c>
      <c r="G35" s="197">
        <v>3</v>
      </c>
    </row>
    <row r="36" spans="1:7" ht="9" hidden="1" customHeight="1">
      <c r="A36" s="198"/>
      <c r="B36" s="193">
        <v>43922</v>
      </c>
      <c r="C36" s="200"/>
      <c r="D36" s="195">
        <v>14490</v>
      </c>
      <c r="E36" s="196">
        <v>47421456</v>
      </c>
      <c r="F36" s="196">
        <v>50367638</v>
      </c>
      <c r="G36" s="197">
        <v>11</v>
      </c>
    </row>
    <row r="37" spans="1:7" ht="9" hidden="1" customHeight="1">
      <c r="A37" s="198"/>
      <c r="B37" s="193">
        <v>44013</v>
      </c>
      <c r="C37" s="194">
        <v>44013</v>
      </c>
      <c r="D37" s="195">
        <v>9319</v>
      </c>
      <c r="E37" s="196">
        <v>31407232</v>
      </c>
      <c r="F37" s="196">
        <v>34676605</v>
      </c>
      <c r="G37" s="197">
        <v>6</v>
      </c>
    </row>
    <row r="38" spans="1:7" ht="9" hidden="1" customHeight="1">
      <c r="A38" s="198"/>
      <c r="B38" s="199"/>
      <c r="C38" s="194">
        <v>44044</v>
      </c>
      <c r="D38" s="195">
        <v>4107</v>
      </c>
      <c r="E38" s="196">
        <v>13753659</v>
      </c>
      <c r="F38" s="196">
        <v>14948479</v>
      </c>
      <c r="G38" s="197">
        <v>3</v>
      </c>
    </row>
    <row r="39" spans="1:7" ht="9" hidden="1" customHeight="1">
      <c r="A39" s="198"/>
      <c r="B39" s="199"/>
      <c r="C39" s="194">
        <v>44075</v>
      </c>
      <c r="D39" s="195">
        <v>5012</v>
      </c>
      <c r="E39" s="196">
        <v>16859698</v>
      </c>
      <c r="F39" s="196">
        <v>17023268</v>
      </c>
      <c r="G39" s="197">
        <v>4</v>
      </c>
    </row>
    <row r="40" spans="1:7" ht="9" hidden="1" customHeight="1">
      <c r="A40" s="198"/>
      <c r="B40" s="193">
        <v>44013</v>
      </c>
      <c r="C40" s="200"/>
      <c r="D40" s="195">
        <v>18438</v>
      </c>
      <c r="E40" s="196">
        <v>62020589</v>
      </c>
      <c r="F40" s="196">
        <v>66648352</v>
      </c>
      <c r="G40" s="197">
        <v>13</v>
      </c>
    </row>
    <row r="41" spans="1:7" ht="9" hidden="1" customHeight="1">
      <c r="A41" s="198"/>
      <c r="B41" s="193">
        <v>44105</v>
      </c>
      <c r="C41" s="194">
        <v>44105</v>
      </c>
      <c r="D41" s="195">
        <v>19554</v>
      </c>
      <c r="E41" s="196">
        <v>63428590</v>
      </c>
      <c r="F41" s="196">
        <v>64801809</v>
      </c>
      <c r="G41" s="197">
        <v>12</v>
      </c>
    </row>
    <row r="42" spans="1:7" ht="9" hidden="1" customHeight="1">
      <c r="A42" s="198"/>
      <c r="B42" s="199"/>
      <c r="C42" s="194">
        <v>44136</v>
      </c>
      <c r="D42" s="195">
        <v>7970</v>
      </c>
      <c r="E42" s="196">
        <v>23024376</v>
      </c>
      <c r="F42" s="196">
        <v>23551945</v>
      </c>
      <c r="G42" s="197">
        <v>5</v>
      </c>
    </row>
    <row r="43" spans="1:7" ht="9" hidden="1" customHeight="1">
      <c r="A43" s="198"/>
      <c r="B43" s="193">
        <v>44105</v>
      </c>
      <c r="C43" s="200"/>
      <c r="D43" s="195">
        <v>27524</v>
      </c>
      <c r="E43" s="196">
        <v>86452966</v>
      </c>
      <c r="F43" s="196">
        <v>88353754</v>
      </c>
      <c r="G43" s="197">
        <v>17</v>
      </c>
    </row>
    <row r="44" spans="1:7" ht="9" hidden="1" customHeight="1">
      <c r="A44" s="192">
        <v>42370</v>
      </c>
      <c r="B44" s="199"/>
      <c r="C44" s="200"/>
      <c r="D44" s="195">
        <v>78691</v>
      </c>
      <c r="E44" s="196">
        <v>243053722</v>
      </c>
      <c r="F44" s="196">
        <v>257177326</v>
      </c>
      <c r="G44" s="197">
        <v>52</v>
      </c>
    </row>
    <row r="45" spans="1:7" ht="9" hidden="1" customHeight="1">
      <c r="A45" s="192">
        <v>42736</v>
      </c>
      <c r="B45" s="193">
        <v>43831</v>
      </c>
      <c r="C45" s="194">
        <v>43831</v>
      </c>
      <c r="D45" s="195">
        <v>1369</v>
      </c>
      <c r="E45" s="196">
        <v>5243266</v>
      </c>
      <c r="F45" s="196">
        <v>5243270</v>
      </c>
      <c r="G45" s="197">
        <v>1</v>
      </c>
    </row>
    <row r="46" spans="1:7" ht="9" hidden="1" customHeight="1">
      <c r="A46" s="198"/>
      <c r="B46" s="199"/>
      <c r="C46" s="194">
        <v>43862</v>
      </c>
      <c r="D46" s="195">
        <v>13293</v>
      </c>
      <c r="E46" s="196">
        <v>47517013</v>
      </c>
      <c r="F46" s="196">
        <v>48406371</v>
      </c>
      <c r="G46" s="197">
        <v>9</v>
      </c>
    </row>
    <row r="47" spans="1:7" ht="9" hidden="1" customHeight="1">
      <c r="A47" s="198"/>
      <c r="B47" s="199"/>
      <c r="C47" s="194">
        <v>43891</v>
      </c>
      <c r="D47" s="195">
        <v>16981</v>
      </c>
      <c r="E47" s="196">
        <v>58911827</v>
      </c>
      <c r="F47" s="196">
        <v>60039818</v>
      </c>
      <c r="G47" s="197">
        <v>11</v>
      </c>
    </row>
    <row r="48" spans="1:7" ht="9" hidden="1" customHeight="1">
      <c r="A48" s="198"/>
      <c r="B48" s="193">
        <v>43831</v>
      </c>
      <c r="C48" s="200"/>
      <c r="D48" s="195">
        <v>31643</v>
      </c>
      <c r="E48" s="196">
        <v>111672106</v>
      </c>
      <c r="F48" s="196">
        <v>113689459</v>
      </c>
      <c r="G48" s="197">
        <v>21</v>
      </c>
    </row>
    <row r="49" spans="1:7" ht="9" hidden="1" customHeight="1">
      <c r="A49" s="198"/>
      <c r="B49" s="193">
        <v>43922</v>
      </c>
      <c r="C49" s="194">
        <v>43922</v>
      </c>
      <c r="D49" s="195">
        <v>13106</v>
      </c>
      <c r="E49" s="196">
        <v>39527491</v>
      </c>
      <c r="F49" s="196">
        <v>39945770</v>
      </c>
      <c r="G49" s="197">
        <v>8</v>
      </c>
    </row>
    <row r="50" spans="1:7" ht="9" hidden="1" customHeight="1">
      <c r="A50" s="198"/>
      <c r="B50" s="199"/>
      <c r="C50" s="194">
        <v>43952</v>
      </c>
      <c r="D50" s="195">
        <v>15999</v>
      </c>
      <c r="E50" s="196">
        <v>56946613</v>
      </c>
      <c r="F50" s="196">
        <v>58129958</v>
      </c>
      <c r="G50" s="197">
        <v>10</v>
      </c>
    </row>
    <row r="51" spans="1:7" ht="9" hidden="1" customHeight="1">
      <c r="A51" s="198"/>
      <c r="B51" s="199"/>
      <c r="C51" s="194">
        <v>43983</v>
      </c>
      <c r="D51" s="195">
        <v>24581</v>
      </c>
      <c r="E51" s="196">
        <v>88656177</v>
      </c>
      <c r="F51" s="196">
        <v>89973944</v>
      </c>
      <c r="G51" s="197">
        <v>18</v>
      </c>
    </row>
    <row r="52" spans="1:7" ht="9" hidden="1" customHeight="1">
      <c r="A52" s="198"/>
      <c r="B52" s="193">
        <v>43922</v>
      </c>
      <c r="C52" s="200"/>
      <c r="D52" s="195">
        <v>53686</v>
      </c>
      <c r="E52" s="196">
        <v>185130281</v>
      </c>
      <c r="F52" s="196">
        <v>188049672</v>
      </c>
      <c r="G52" s="197">
        <v>36</v>
      </c>
    </row>
    <row r="53" spans="1:7" ht="9" hidden="1" customHeight="1">
      <c r="A53" s="198"/>
      <c r="B53" s="193">
        <v>44013</v>
      </c>
      <c r="C53" s="194">
        <v>44013</v>
      </c>
      <c r="D53" s="195">
        <v>16964</v>
      </c>
      <c r="E53" s="196">
        <v>55730668</v>
      </c>
      <c r="F53" s="196">
        <v>56385119</v>
      </c>
      <c r="G53" s="197">
        <v>12</v>
      </c>
    </row>
    <row r="54" spans="1:7" ht="9" hidden="1" customHeight="1">
      <c r="A54" s="198"/>
      <c r="B54" s="199"/>
      <c r="C54" s="194">
        <v>44044</v>
      </c>
      <c r="D54" s="195">
        <v>31972</v>
      </c>
      <c r="E54" s="196">
        <v>107527095</v>
      </c>
      <c r="F54" s="196">
        <v>108903601</v>
      </c>
      <c r="G54" s="197">
        <v>24</v>
      </c>
    </row>
    <row r="55" spans="1:7" ht="9" hidden="1" customHeight="1">
      <c r="A55" s="198"/>
      <c r="B55" s="199"/>
      <c r="C55" s="194">
        <v>44075</v>
      </c>
      <c r="D55" s="195">
        <v>16870</v>
      </c>
      <c r="E55" s="196">
        <v>58912788</v>
      </c>
      <c r="F55" s="196">
        <v>60448203</v>
      </c>
      <c r="G55" s="197">
        <v>10</v>
      </c>
    </row>
    <row r="56" spans="1:7" ht="9" hidden="1" customHeight="1">
      <c r="A56" s="198"/>
      <c r="B56" s="193">
        <v>44013</v>
      </c>
      <c r="C56" s="200"/>
      <c r="D56" s="195">
        <v>65806</v>
      </c>
      <c r="E56" s="196">
        <v>222170551</v>
      </c>
      <c r="F56" s="196">
        <v>225736923</v>
      </c>
      <c r="G56" s="197">
        <v>46</v>
      </c>
    </row>
    <row r="57" spans="1:7" ht="9" hidden="1" customHeight="1">
      <c r="A57" s="198"/>
      <c r="B57" s="193">
        <v>44105</v>
      </c>
      <c r="C57" s="194">
        <v>44105</v>
      </c>
      <c r="D57" s="195">
        <v>14258</v>
      </c>
      <c r="E57" s="196">
        <v>48734669</v>
      </c>
      <c r="F57" s="196">
        <v>49107378</v>
      </c>
      <c r="G57" s="197">
        <v>11</v>
      </c>
    </row>
    <row r="58" spans="1:7" ht="9" hidden="1" customHeight="1">
      <c r="A58" s="198"/>
      <c r="B58" s="199"/>
      <c r="C58" s="194">
        <v>44136</v>
      </c>
      <c r="D58" s="195">
        <v>11234</v>
      </c>
      <c r="E58" s="196">
        <v>37174537</v>
      </c>
      <c r="F58" s="196">
        <v>37386057</v>
      </c>
      <c r="G58" s="197">
        <v>8</v>
      </c>
    </row>
    <row r="59" spans="1:7" ht="9" hidden="1" customHeight="1">
      <c r="A59" s="198"/>
      <c r="B59" s="199"/>
      <c r="C59" s="194">
        <v>44166</v>
      </c>
      <c r="D59" s="195">
        <v>17444</v>
      </c>
      <c r="E59" s="196">
        <v>61855465</v>
      </c>
      <c r="F59" s="196">
        <v>62710661</v>
      </c>
      <c r="G59" s="197">
        <v>11</v>
      </c>
    </row>
    <row r="60" spans="1:7" ht="9" hidden="1" customHeight="1">
      <c r="A60" s="198"/>
      <c r="B60" s="193">
        <v>44105</v>
      </c>
      <c r="C60" s="200"/>
      <c r="D60" s="195">
        <v>42936</v>
      </c>
      <c r="E60" s="196">
        <v>147764671</v>
      </c>
      <c r="F60" s="196">
        <v>149204096</v>
      </c>
      <c r="G60" s="197">
        <v>30</v>
      </c>
    </row>
    <row r="61" spans="1:7" ht="9" hidden="1" customHeight="1">
      <c r="A61" s="192">
        <v>42736</v>
      </c>
      <c r="B61" s="199"/>
      <c r="C61" s="200"/>
      <c r="D61" s="195">
        <v>194071</v>
      </c>
      <c r="E61" s="196">
        <v>666737609</v>
      </c>
      <c r="F61" s="196">
        <v>676680150</v>
      </c>
      <c r="G61" s="197">
        <v>133</v>
      </c>
    </row>
    <row r="62" spans="1:7" ht="9" hidden="1" customHeight="1">
      <c r="A62" s="192">
        <v>43101</v>
      </c>
      <c r="B62" s="193">
        <v>43831</v>
      </c>
      <c r="C62" s="194">
        <v>43831</v>
      </c>
      <c r="D62" s="195">
        <v>11174</v>
      </c>
      <c r="E62" s="196">
        <v>39944057</v>
      </c>
      <c r="F62" s="196">
        <v>40107651</v>
      </c>
      <c r="G62" s="197">
        <v>7</v>
      </c>
    </row>
    <row r="63" spans="1:7" ht="9" hidden="1" customHeight="1">
      <c r="A63" s="198"/>
      <c r="B63" s="199"/>
      <c r="C63" s="194">
        <v>43862</v>
      </c>
      <c r="D63" s="195">
        <v>16682</v>
      </c>
      <c r="E63" s="196">
        <v>59792678</v>
      </c>
      <c r="F63" s="196">
        <v>60375180</v>
      </c>
      <c r="G63" s="197">
        <v>12</v>
      </c>
    </row>
    <row r="64" spans="1:7" ht="9" hidden="1" customHeight="1">
      <c r="A64" s="198"/>
      <c r="B64" s="199"/>
      <c r="C64" s="194">
        <v>43891</v>
      </c>
      <c r="D64" s="195">
        <v>23378</v>
      </c>
      <c r="E64" s="196">
        <v>81500601</v>
      </c>
      <c r="F64" s="196">
        <v>83111637</v>
      </c>
      <c r="G64" s="197">
        <v>15</v>
      </c>
    </row>
    <row r="65" spans="1:7" ht="9" hidden="1" customHeight="1">
      <c r="A65" s="198"/>
      <c r="B65" s="193">
        <v>43831</v>
      </c>
      <c r="C65" s="200"/>
      <c r="D65" s="195">
        <v>51234</v>
      </c>
      <c r="E65" s="196">
        <v>181237336</v>
      </c>
      <c r="F65" s="196">
        <v>183594468</v>
      </c>
      <c r="G65" s="197">
        <v>34</v>
      </c>
    </row>
    <row r="66" spans="1:7" ht="9" hidden="1" customHeight="1">
      <c r="A66" s="198"/>
      <c r="B66" s="193">
        <v>43922</v>
      </c>
      <c r="C66" s="194">
        <v>43922</v>
      </c>
      <c r="D66" s="195">
        <v>28500</v>
      </c>
      <c r="E66" s="196">
        <v>101851348</v>
      </c>
      <c r="F66" s="196">
        <v>102579364</v>
      </c>
      <c r="G66" s="197">
        <v>17</v>
      </c>
    </row>
    <row r="67" spans="1:7" ht="9" hidden="1" customHeight="1">
      <c r="A67" s="198"/>
      <c r="B67" s="199"/>
      <c r="C67" s="194">
        <v>43952</v>
      </c>
      <c r="D67" s="195">
        <v>24636</v>
      </c>
      <c r="E67" s="196">
        <v>82629716</v>
      </c>
      <c r="F67" s="196">
        <v>83333091</v>
      </c>
      <c r="G67" s="197">
        <v>15</v>
      </c>
    </row>
    <row r="68" spans="1:7" ht="9" hidden="1" customHeight="1">
      <c r="A68" s="198"/>
      <c r="B68" s="199"/>
      <c r="C68" s="194">
        <v>43983</v>
      </c>
      <c r="D68" s="195">
        <v>27462</v>
      </c>
      <c r="E68" s="196">
        <v>96894518</v>
      </c>
      <c r="F68" s="196">
        <v>97475884</v>
      </c>
      <c r="G68" s="197">
        <v>19</v>
      </c>
    </row>
    <row r="69" spans="1:7" ht="9" hidden="1" customHeight="1">
      <c r="A69" s="198"/>
      <c r="B69" s="193">
        <v>43922</v>
      </c>
      <c r="C69" s="200"/>
      <c r="D69" s="195">
        <v>80598</v>
      </c>
      <c r="E69" s="196">
        <v>281375582</v>
      </c>
      <c r="F69" s="196">
        <v>283388339</v>
      </c>
      <c r="G69" s="197">
        <v>51</v>
      </c>
    </row>
    <row r="70" spans="1:7" ht="9" hidden="1" customHeight="1">
      <c r="A70" s="198"/>
      <c r="B70" s="193">
        <v>44013</v>
      </c>
      <c r="C70" s="194">
        <v>44013</v>
      </c>
      <c r="D70" s="195">
        <v>32723</v>
      </c>
      <c r="E70" s="196">
        <v>106030483</v>
      </c>
      <c r="F70" s="196">
        <v>107453740</v>
      </c>
      <c r="G70" s="197">
        <v>22</v>
      </c>
    </row>
    <row r="71" spans="1:7" ht="9" hidden="1" customHeight="1">
      <c r="A71" s="198"/>
      <c r="B71" s="199"/>
      <c r="C71" s="194">
        <v>44044</v>
      </c>
      <c r="D71" s="195">
        <v>12750</v>
      </c>
      <c r="E71" s="196">
        <v>44682594</v>
      </c>
      <c r="F71" s="196">
        <v>44899200</v>
      </c>
      <c r="G71" s="197">
        <v>9</v>
      </c>
    </row>
    <row r="72" spans="1:7" ht="9" hidden="1" customHeight="1">
      <c r="A72" s="198"/>
      <c r="B72" s="199"/>
      <c r="C72" s="194">
        <v>44075</v>
      </c>
      <c r="D72" s="195">
        <v>17866</v>
      </c>
      <c r="E72" s="196">
        <v>60125152</v>
      </c>
      <c r="F72" s="196">
        <v>61377399</v>
      </c>
      <c r="G72" s="197">
        <v>10</v>
      </c>
    </row>
    <row r="73" spans="1:7" ht="9" hidden="1" customHeight="1">
      <c r="A73" s="198"/>
      <c r="B73" s="193">
        <v>44013</v>
      </c>
      <c r="C73" s="200"/>
      <c r="D73" s="195">
        <v>63339</v>
      </c>
      <c r="E73" s="196">
        <v>210838229</v>
      </c>
      <c r="F73" s="196">
        <v>213730339</v>
      </c>
      <c r="G73" s="197">
        <v>41</v>
      </c>
    </row>
    <row r="74" spans="1:7" ht="9" hidden="1" customHeight="1">
      <c r="A74" s="198"/>
      <c r="B74" s="193">
        <v>44105</v>
      </c>
      <c r="C74" s="194">
        <v>44105</v>
      </c>
      <c r="D74" s="195">
        <v>16059</v>
      </c>
      <c r="E74" s="196">
        <v>57353184</v>
      </c>
      <c r="F74" s="196">
        <v>57771464</v>
      </c>
      <c r="G74" s="197">
        <v>11</v>
      </c>
    </row>
    <row r="75" spans="1:7" ht="9" hidden="1" customHeight="1">
      <c r="A75" s="198"/>
      <c r="B75" s="199"/>
      <c r="C75" s="194">
        <v>44136</v>
      </c>
      <c r="D75" s="195">
        <v>3875</v>
      </c>
      <c r="E75" s="196">
        <v>14178705</v>
      </c>
      <c r="F75" s="196">
        <v>14178705</v>
      </c>
      <c r="G75" s="197">
        <v>3</v>
      </c>
    </row>
    <row r="76" spans="1:7" ht="9" hidden="1" customHeight="1">
      <c r="A76" s="198"/>
      <c r="B76" s="199"/>
      <c r="C76" s="194">
        <v>44166</v>
      </c>
      <c r="D76" s="195">
        <v>15999</v>
      </c>
      <c r="E76" s="196">
        <v>58989940</v>
      </c>
      <c r="F76" s="196">
        <v>59693510</v>
      </c>
      <c r="G76" s="197">
        <v>10</v>
      </c>
    </row>
    <row r="77" spans="1:7" ht="9" hidden="1" customHeight="1">
      <c r="A77" s="198"/>
      <c r="B77" s="193">
        <v>44105</v>
      </c>
      <c r="C77" s="200"/>
      <c r="D77" s="195">
        <v>35933</v>
      </c>
      <c r="E77" s="196">
        <v>130521829</v>
      </c>
      <c r="F77" s="196">
        <v>131643679</v>
      </c>
      <c r="G77" s="197">
        <v>24</v>
      </c>
    </row>
    <row r="78" spans="1:7" ht="9" hidden="1" customHeight="1">
      <c r="A78" s="192">
        <v>43101</v>
      </c>
      <c r="B78" s="199"/>
      <c r="C78" s="200"/>
      <c r="D78" s="195">
        <v>231104</v>
      </c>
      <c r="E78" s="196">
        <v>803972976</v>
      </c>
      <c r="F78" s="196">
        <v>812356825</v>
      </c>
      <c r="G78" s="197">
        <v>150</v>
      </c>
    </row>
    <row r="79" spans="1:7" ht="9" hidden="1" customHeight="1">
      <c r="A79" s="192">
        <v>43466</v>
      </c>
      <c r="B79" s="193">
        <v>43831</v>
      </c>
      <c r="C79" s="194">
        <v>43831</v>
      </c>
      <c r="D79" s="195">
        <v>25312</v>
      </c>
      <c r="E79" s="196">
        <v>92945956</v>
      </c>
      <c r="F79" s="196">
        <v>94342422</v>
      </c>
      <c r="G79" s="197">
        <v>16</v>
      </c>
    </row>
    <row r="80" spans="1:7" ht="9" hidden="1" customHeight="1">
      <c r="A80" s="198"/>
      <c r="B80" s="199"/>
      <c r="C80" s="194">
        <v>43862</v>
      </c>
      <c r="D80" s="195">
        <v>15628</v>
      </c>
      <c r="E80" s="196">
        <v>53286309</v>
      </c>
      <c r="F80" s="196">
        <v>53749749</v>
      </c>
      <c r="G80" s="197">
        <v>9</v>
      </c>
    </row>
    <row r="81" spans="1:7" ht="9" hidden="1" customHeight="1">
      <c r="A81" s="198"/>
      <c r="B81" s="199"/>
      <c r="C81" s="194">
        <v>43891</v>
      </c>
      <c r="D81" s="195">
        <v>27699</v>
      </c>
      <c r="E81" s="196">
        <v>95990939</v>
      </c>
      <c r="F81" s="196">
        <v>98530861</v>
      </c>
      <c r="G81" s="197">
        <v>16</v>
      </c>
    </row>
    <row r="82" spans="1:7" ht="9" hidden="1" customHeight="1">
      <c r="A82" s="198"/>
      <c r="B82" s="193">
        <v>43831</v>
      </c>
      <c r="C82" s="200"/>
      <c r="D82" s="195">
        <v>68639</v>
      </c>
      <c r="E82" s="196">
        <v>242223204</v>
      </c>
      <c r="F82" s="196">
        <v>246623032</v>
      </c>
      <c r="G82" s="197">
        <v>41</v>
      </c>
    </row>
    <row r="83" spans="1:7" ht="9" hidden="1" customHeight="1">
      <c r="A83" s="198"/>
      <c r="B83" s="193">
        <v>43922</v>
      </c>
      <c r="C83" s="194">
        <v>43922</v>
      </c>
      <c r="D83" s="195">
        <v>6601</v>
      </c>
      <c r="E83" s="196">
        <v>24900000</v>
      </c>
      <c r="F83" s="196">
        <v>25141930</v>
      </c>
      <c r="G83" s="197">
        <v>4</v>
      </c>
    </row>
    <row r="84" spans="1:7" ht="9" hidden="1" customHeight="1">
      <c r="A84" s="198"/>
      <c r="B84" s="199"/>
      <c r="C84" s="194">
        <v>43952</v>
      </c>
      <c r="D84" s="195">
        <v>18132</v>
      </c>
      <c r="E84" s="196">
        <v>65110536</v>
      </c>
      <c r="F84" s="196">
        <v>65110536</v>
      </c>
      <c r="G84" s="197">
        <v>11</v>
      </c>
    </row>
    <row r="85" spans="1:7" ht="9" hidden="1" customHeight="1">
      <c r="A85" s="198"/>
      <c r="B85" s="199"/>
      <c r="C85" s="194">
        <v>43983</v>
      </c>
      <c r="D85" s="195">
        <v>7579</v>
      </c>
      <c r="E85" s="196">
        <v>26800440</v>
      </c>
      <c r="F85" s="196">
        <v>26800440</v>
      </c>
      <c r="G85" s="197">
        <v>4</v>
      </c>
    </row>
    <row r="86" spans="1:7" ht="9" hidden="1" customHeight="1">
      <c r="A86" s="198"/>
      <c r="B86" s="193">
        <v>43922</v>
      </c>
      <c r="C86" s="200"/>
      <c r="D86" s="195">
        <v>32312</v>
      </c>
      <c r="E86" s="196">
        <v>116810976</v>
      </c>
      <c r="F86" s="196">
        <v>117052906</v>
      </c>
      <c r="G86" s="197">
        <v>19</v>
      </c>
    </row>
    <row r="87" spans="1:7" ht="9" hidden="1" customHeight="1">
      <c r="A87" s="198"/>
      <c r="B87" s="193">
        <v>44013</v>
      </c>
      <c r="C87" s="194">
        <v>44013</v>
      </c>
      <c r="D87" s="195">
        <v>20032</v>
      </c>
      <c r="E87" s="196">
        <v>68759742</v>
      </c>
      <c r="F87" s="196">
        <v>70060772</v>
      </c>
      <c r="G87" s="197">
        <v>11</v>
      </c>
    </row>
    <row r="88" spans="1:7" ht="9" hidden="1" customHeight="1">
      <c r="A88" s="198"/>
      <c r="B88" s="199"/>
      <c r="C88" s="194">
        <v>44044</v>
      </c>
      <c r="D88" s="195">
        <v>9837</v>
      </c>
      <c r="E88" s="196">
        <v>37862230</v>
      </c>
      <c r="F88" s="196">
        <v>37862230</v>
      </c>
      <c r="G88" s="197">
        <v>7</v>
      </c>
    </row>
    <row r="89" spans="1:7" ht="9" hidden="1" customHeight="1">
      <c r="A89" s="198"/>
      <c r="B89" s="199"/>
      <c r="C89" s="194">
        <v>44075</v>
      </c>
      <c r="D89" s="195">
        <v>19458</v>
      </c>
      <c r="E89" s="196">
        <v>72761787</v>
      </c>
      <c r="F89" s="196">
        <v>72861380</v>
      </c>
      <c r="G89" s="197">
        <v>13</v>
      </c>
    </row>
    <row r="90" spans="1:7" ht="9" hidden="1" customHeight="1">
      <c r="A90" s="198"/>
      <c r="B90" s="193">
        <v>44013</v>
      </c>
      <c r="C90" s="200"/>
      <c r="D90" s="195">
        <v>49327</v>
      </c>
      <c r="E90" s="196">
        <v>179383759</v>
      </c>
      <c r="F90" s="196">
        <v>180784382</v>
      </c>
      <c r="G90" s="197">
        <v>31</v>
      </c>
    </row>
    <row r="91" spans="1:7" ht="9" hidden="1" customHeight="1">
      <c r="A91" s="198"/>
      <c r="B91" s="193">
        <v>44105</v>
      </c>
      <c r="C91" s="194">
        <v>44105</v>
      </c>
      <c r="D91" s="195">
        <v>37282</v>
      </c>
      <c r="E91" s="196">
        <v>131644281</v>
      </c>
      <c r="F91" s="196">
        <v>133149780</v>
      </c>
      <c r="G91" s="197">
        <v>24</v>
      </c>
    </row>
    <row r="92" spans="1:7" ht="9" hidden="1" customHeight="1">
      <c r="A92" s="198"/>
      <c r="B92" s="199"/>
      <c r="C92" s="194">
        <v>44136</v>
      </c>
      <c r="D92" s="195">
        <v>16565</v>
      </c>
      <c r="E92" s="196">
        <v>63134311</v>
      </c>
      <c r="F92" s="196">
        <v>63134311</v>
      </c>
      <c r="G92" s="197">
        <v>11</v>
      </c>
    </row>
    <row r="93" spans="1:7" ht="9" hidden="1" customHeight="1">
      <c r="A93" s="198"/>
      <c r="B93" s="199"/>
      <c r="C93" s="194">
        <v>44166</v>
      </c>
      <c r="D93" s="195">
        <v>8236</v>
      </c>
      <c r="E93" s="196">
        <v>27687620</v>
      </c>
      <c r="F93" s="196">
        <v>27929550</v>
      </c>
      <c r="G93" s="197">
        <v>6</v>
      </c>
    </row>
    <row r="94" spans="1:7" ht="9" hidden="1" customHeight="1">
      <c r="A94" s="198"/>
      <c r="B94" s="193">
        <v>44105</v>
      </c>
      <c r="C94" s="200"/>
      <c r="D94" s="195">
        <v>62083</v>
      </c>
      <c r="E94" s="196">
        <v>222466212</v>
      </c>
      <c r="F94" s="196">
        <v>224213641</v>
      </c>
      <c r="G94" s="197">
        <v>41</v>
      </c>
    </row>
    <row r="95" spans="1:7" ht="9" hidden="1" customHeight="1">
      <c r="A95" s="192">
        <v>43466</v>
      </c>
      <c r="B95" s="199"/>
      <c r="C95" s="200"/>
      <c r="D95" s="195">
        <v>212361</v>
      </c>
      <c r="E95" s="196">
        <v>760884151</v>
      </c>
      <c r="F95" s="196">
        <v>768673961</v>
      </c>
      <c r="G95" s="197">
        <v>132</v>
      </c>
    </row>
    <row r="96" spans="1:7" ht="9" hidden="1" customHeight="1">
      <c r="A96" s="192">
        <v>43831</v>
      </c>
      <c r="B96" s="193">
        <v>43831</v>
      </c>
      <c r="C96" s="194">
        <v>43831</v>
      </c>
      <c r="D96" s="195">
        <v>19537</v>
      </c>
      <c r="E96" s="196">
        <v>65869704</v>
      </c>
      <c r="F96" s="196">
        <v>66196844</v>
      </c>
      <c r="G96" s="197">
        <v>11</v>
      </c>
    </row>
    <row r="97" spans="1:7" ht="9" hidden="1" customHeight="1">
      <c r="A97" s="198"/>
      <c r="B97" s="199"/>
      <c r="C97" s="194">
        <v>43862</v>
      </c>
      <c r="D97" s="195">
        <v>6833</v>
      </c>
      <c r="E97" s="196">
        <v>26241800</v>
      </c>
      <c r="F97" s="196">
        <v>26241800</v>
      </c>
      <c r="G97" s="197">
        <v>4</v>
      </c>
    </row>
    <row r="98" spans="1:7" ht="9" hidden="1" customHeight="1">
      <c r="A98" s="198"/>
      <c r="B98" s="199"/>
      <c r="C98" s="194">
        <v>43891</v>
      </c>
      <c r="D98" s="195">
        <v>7424</v>
      </c>
      <c r="E98" s="196">
        <v>25503150</v>
      </c>
      <c r="F98" s="196">
        <v>25503150</v>
      </c>
      <c r="G98" s="197">
        <v>4</v>
      </c>
    </row>
    <row r="99" spans="1:7" ht="9" hidden="1" customHeight="1">
      <c r="A99" s="198"/>
      <c r="B99" s="193">
        <v>43831</v>
      </c>
      <c r="C99" s="200"/>
      <c r="D99" s="195">
        <v>33794</v>
      </c>
      <c r="E99" s="196">
        <v>117614654</v>
      </c>
      <c r="F99" s="196">
        <v>117941794</v>
      </c>
      <c r="G99" s="197">
        <v>19</v>
      </c>
    </row>
    <row r="100" spans="1:7" ht="9" hidden="1" customHeight="1">
      <c r="A100" s="198"/>
      <c r="B100" s="193">
        <v>43922</v>
      </c>
      <c r="C100" s="194">
        <v>43922</v>
      </c>
      <c r="D100" s="195">
        <v>2599</v>
      </c>
      <c r="E100" s="196">
        <v>10270030</v>
      </c>
      <c r="F100" s="196">
        <v>10270030</v>
      </c>
      <c r="G100" s="197">
        <v>1</v>
      </c>
    </row>
    <row r="101" spans="1:7" ht="9" hidden="1" customHeight="1">
      <c r="A101" s="198"/>
      <c r="B101" s="199"/>
      <c r="C101" s="194">
        <v>43952</v>
      </c>
      <c r="D101" s="195">
        <v>4002</v>
      </c>
      <c r="E101" s="196">
        <v>15891125</v>
      </c>
      <c r="F101" s="196">
        <v>16133055</v>
      </c>
      <c r="G101" s="197">
        <v>3</v>
      </c>
    </row>
    <row r="102" spans="1:7" ht="9" hidden="1" customHeight="1">
      <c r="A102" s="198"/>
      <c r="B102" s="193">
        <v>43922</v>
      </c>
      <c r="C102" s="200"/>
      <c r="D102" s="195">
        <v>6601</v>
      </c>
      <c r="E102" s="196">
        <v>26161155</v>
      </c>
      <c r="F102" s="196">
        <v>26403085</v>
      </c>
      <c r="G102" s="197">
        <v>4</v>
      </c>
    </row>
    <row r="103" spans="1:7" ht="9" hidden="1" customHeight="1">
      <c r="A103" s="198"/>
      <c r="B103" s="193">
        <v>44013</v>
      </c>
      <c r="C103" s="194">
        <v>44013</v>
      </c>
      <c r="D103" s="195">
        <v>19987</v>
      </c>
      <c r="E103" s="196">
        <v>73173893</v>
      </c>
      <c r="F103" s="196">
        <v>73574458</v>
      </c>
      <c r="G103" s="197">
        <v>12</v>
      </c>
    </row>
    <row r="104" spans="1:7" ht="9" hidden="1" customHeight="1">
      <c r="A104" s="198"/>
      <c r="B104" s="199"/>
      <c r="C104" s="194">
        <v>44044</v>
      </c>
      <c r="D104" s="195">
        <v>13527</v>
      </c>
      <c r="E104" s="196">
        <v>53652221</v>
      </c>
      <c r="F104" s="196">
        <v>53989888</v>
      </c>
      <c r="G104" s="197">
        <v>7</v>
      </c>
    </row>
    <row r="105" spans="1:7" ht="9" hidden="1" customHeight="1">
      <c r="A105" s="198"/>
      <c r="B105" s="199"/>
      <c r="C105" s="194">
        <v>44075</v>
      </c>
      <c r="D105" s="195">
        <v>18586</v>
      </c>
      <c r="E105" s="196">
        <v>67532919</v>
      </c>
      <c r="F105" s="196">
        <v>71080619</v>
      </c>
      <c r="G105" s="197">
        <v>9</v>
      </c>
    </row>
    <row r="106" spans="1:7" ht="9" hidden="1" customHeight="1">
      <c r="A106" s="198"/>
      <c r="B106" s="193">
        <v>44013</v>
      </c>
      <c r="C106" s="200"/>
      <c r="D106" s="195">
        <v>52100</v>
      </c>
      <c r="E106" s="196">
        <v>194359033</v>
      </c>
      <c r="F106" s="196">
        <v>198644965</v>
      </c>
      <c r="G106" s="197">
        <v>28</v>
      </c>
    </row>
    <row r="107" spans="1:7" ht="9" hidden="1" customHeight="1">
      <c r="A107" s="198"/>
      <c r="B107" s="193">
        <v>44105</v>
      </c>
      <c r="C107" s="194">
        <v>44105</v>
      </c>
      <c r="D107" s="195">
        <v>15442</v>
      </c>
      <c r="E107" s="196">
        <v>59452978</v>
      </c>
      <c r="F107" s="196">
        <v>59694908</v>
      </c>
      <c r="G107" s="197">
        <v>9</v>
      </c>
    </row>
    <row r="108" spans="1:7" ht="9" hidden="1" customHeight="1">
      <c r="A108" s="198"/>
      <c r="B108" s="199"/>
      <c r="C108" s="194">
        <v>44136</v>
      </c>
      <c r="D108" s="195">
        <v>11708</v>
      </c>
      <c r="E108" s="196">
        <v>35423198</v>
      </c>
      <c r="F108" s="196">
        <v>37770097</v>
      </c>
      <c r="G108" s="197">
        <v>6</v>
      </c>
    </row>
    <row r="109" spans="1:7" ht="9" hidden="1" customHeight="1">
      <c r="A109" s="198"/>
      <c r="B109" s="199"/>
      <c r="C109" s="194">
        <v>44166</v>
      </c>
      <c r="D109" s="195">
        <v>13434</v>
      </c>
      <c r="E109" s="196">
        <v>52531896</v>
      </c>
      <c r="F109" s="196">
        <v>53743156</v>
      </c>
      <c r="G109" s="197">
        <v>8</v>
      </c>
    </row>
    <row r="110" spans="1:7" ht="9" hidden="1" customHeight="1">
      <c r="A110" s="198"/>
      <c r="B110" s="193">
        <v>44105</v>
      </c>
      <c r="C110" s="200"/>
      <c r="D110" s="195">
        <v>40584</v>
      </c>
      <c r="E110" s="196">
        <v>147408072</v>
      </c>
      <c r="F110" s="196">
        <v>151208161</v>
      </c>
      <c r="G110" s="197">
        <v>23</v>
      </c>
    </row>
    <row r="111" spans="1:7" ht="9" hidden="1" customHeight="1">
      <c r="A111" s="192">
        <v>43831</v>
      </c>
      <c r="B111" s="199"/>
      <c r="C111" s="200"/>
      <c r="D111" s="195">
        <v>133079</v>
      </c>
      <c r="E111" s="196">
        <v>485542914</v>
      </c>
      <c r="F111" s="196">
        <v>494198005</v>
      </c>
      <c r="G111" s="197">
        <v>74</v>
      </c>
    </row>
    <row r="112" spans="1:7" ht="9" hidden="1" customHeight="1">
      <c r="A112" s="192">
        <v>44197</v>
      </c>
      <c r="B112" s="193">
        <v>43831</v>
      </c>
      <c r="C112" s="194">
        <v>43831</v>
      </c>
      <c r="D112" s="195">
        <v>19005</v>
      </c>
      <c r="E112" s="196">
        <v>58061534</v>
      </c>
      <c r="F112" s="196">
        <v>67182610</v>
      </c>
      <c r="G112" s="197">
        <v>10</v>
      </c>
    </row>
    <row r="113" spans="1:7" ht="9" hidden="1" customHeight="1">
      <c r="A113" s="198"/>
      <c r="B113" s="199"/>
      <c r="C113" s="194">
        <v>43862</v>
      </c>
      <c r="D113" s="195">
        <v>5012</v>
      </c>
      <c r="E113" s="196">
        <v>19008210</v>
      </c>
      <c r="F113" s="196">
        <v>22939560</v>
      </c>
      <c r="G113" s="197">
        <v>4</v>
      </c>
    </row>
    <row r="114" spans="1:7" ht="9" hidden="1" customHeight="1">
      <c r="A114" s="198"/>
      <c r="B114" s="199"/>
      <c r="C114" s="194">
        <v>43891</v>
      </c>
      <c r="D114" s="195">
        <v>8236</v>
      </c>
      <c r="E114" s="196">
        <v>25885974</v>
      </c>
      <c r="F114" s="196">
        <v>36143239</v>
      </c>
      <c r="G114" s="197">
        <v>6</v>
      </c>
    </row>
    <row r="115" spans="1:7" ht="9" hidden="1" customHeight="1">
      <c r="A115" s="198"/>
      <c r="B115" s="193">
        <v>43831</v>
      </c>
      <c r="C115" s="200"/>
      <c r="D115" s="195">
        <v>32253</v>
      </c>
      <c r="E115" s="196">
        <v>102955718</v>
      </c>
      <c r="F115" s="196">
        <v>126265409</v>
      </c>
      <c r="G115" s="197">
        <v>20</v>
      </c>
    </row>
    <row r="116" spans="1:7" ht="9" hidden="1" customHeight="1">
      <c r="A116" s="198"/>
      <c r="B116" s="193">
        <v>43922</v>
      </c>
      <c r="C116" s="194">
        <v>43922</v>
      </c>
      <c r="D116" s="195">
        <v>1728</v>
      </c>
      <c r="E116" s="196">
        <v>3590080</v>
      </c>
      <c r="F116" s="196">
        <v>7832010</v>
      </c>
      <c r="G116" s="197">
        <v>1</v>
      </c>
    </row>
    <row r="117" spans="1:7" ht="9" hidden="1" customHeight="1">
      <c r="A117" s="198"/>
      <c r="B117" s="193">
        <v>43922</v>
      </c>
      <c r="C117" s="200"/>
      <c r="D117" s="195">
        <v>1728</v>
      </c>
      <c r="E117" s="196">
        <v>3590080</v>
      </c>
      <c r="F117" s="196">
        <v>7832010</v>
      </c>
      <c r="G117" s="197">
        <v>1</v>
      </c>
    </row>
    <row r="118" spans="1:7" ht="9" hidden="1" customHeight="1">
      <c r="A118" s="192">
        <v>44197</v>
      </c>
      <c r="B118" s="199"/>
      <c r="C118" s="200"/>
      <c r="D118" s="195">
        <v>33981</v>
      </c>
      <c r="E118" s="196">
        <v>106545798</v>
      </c>
      <c r="F118" s="196">
        <v>134097419</v>
      </c>
      <c r="G118" s="197">
        <v>21</v>
      </c>
    </row>
    <row r="119" spans="1:7" ht="15.25" customHeight="1">
      <c r="A119" s="201" t="s">
        <v>305</v>
      </c>
      <c r="B119" s="202"/>
      <c r="C119" s="203"/>
      <c r="D119" s="204">
        <v>1068932</v>
      </c>
      <c r="E119" s="205">
        <v>3635693493</v>
      </c>
      <c r="F119" s="205">
        <v>3731058979</v>
      </c>
      <c r="G119" s="206">
        <v>699</v>
      </c>
    </row>
  </sheetData>
  <mergeCells count="1">
    <mergeCell ref="A1:G1"/>
  </mergeCells>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57"/>
  <sheetViews>
    <sheetView showGridLines="0" workbookViewId="0"/>
  </sheetViews>
  <sheetFormatPr baseColWidth="10" defaultColWidth="13.33203125" defaultRowHeight="17.5" customHeight="1"/>
  <cols>
    <col min="1" max="8" width="13.33203125" style="4" customWidth="1"/>
    <col min="9" max="16384" width="13.33203125" style="4"/>
  </cols>
  <sheetData>
    <row r="1" spans="1:7" ht="12.25" customHeight="1">
      <c r="A1" s="431" t="s">
        <v>15</v>
      </c>
      <c r="B1" s="432"/>
      <c r="C1" s="432"/>
      <c r="D1" s="432"/>
      <c r="E1" s="432"/>
      <c r="F1" s="432"/>
      <c r="G1" s="433"/>
    </row>
    <row r="2" spans="1:7" ht="15.25" customHeight="1">
      <c r="A2" s="186" t="s">
        <v>307</v>
      </c>
      <c r="B2" s="187" t="s">
        <v>308</v>
      </c>
      <c r="C2" s="188" t="s">
        <v>309</v>
      </c>
      <c r="D2" s="189" t="s">
        <v>310</v>
      </c>
      <c r="E2" s="190" t="s">
        <v>311</v>
      </c>
      <c r="F2" s="190" t="s">
        <v>312</v>
      </c>
      <c r="G2" s="191" t="s">
        <v>313</v>
      </c>
    </row>
    <row r="3" spans="1:7" ht="9" hidden="1" customHeight="1">
      <c r="A3" s="192">
        <v>40909</v>
      </c>
      <c r="B3" s="193">
        <v>44105</v>
      </c>
      <c r="C3" s="194">
        <v>44105</v>
      </c>
      <c r="D3" s="195">
        <v>4</v>
      </c>
      <c r="E3" s="196">
        <v>1786.92</v>
      </c>
      <c r="F3" s="196">
        <v>9904352</v>
      </c>
      <c r="G3" s="197">
        <v>9904358</v>
      </c>
    </row>
    <row r="4" spans="1:7" ht="9" hidden="1" customHeight="1">
      <c r="A4" s="198"/>
      <c r="B4" s="199"/>
      <c r="C4" s="194">
        <v>44136</v>
      </c>
      <c r="D4" s="195">
        <v>13</v>
      </c>
      <c r="E4" s="196">
        <v>6810.02</v>
      </c>
      <c r="F4" s="196">
        <v>31006810</v>
      </c>
      <c r="G4" s="197">
        <v>31006797</v>
      </c>
    </row>
    <row r="5" spans="1:7" ht="9" hidden="1" customHeight="1">
      <c r="A5" s="198"/>
      <c r="B5" s="199"/>
      <c r="C5" s="194">
        <v>44166</v>
      </c>
      <c r="D5" s="195">
        <v>12</v>
      </c>
      <c r="E5" s="196">
        <v>6898.82</v>
      </c>
      <c r="F5" s="196">
        <v>23696037</v>
      </c>
      <c r="G5" s="197">
        <v>23695063</v>
      </c>
    </row>
    <row r="6" spans="1:7" ht="9" hidden="1" customHeight="1">
      <c r="A6" s="198"/>
      <c r="B6" s="193">
        <v>44105</v>
      </c>
      <c r="C6" s="200"/>
      <c r="D6" s="195">
        <v>29</v>
      </c>
      <c r="E6" s="196">
        <v>15495.76</v>
      </c>
      <c r="F6" s="196">
        <v>64607199</v>
      </c>
      <c r="G6" s="197">
        <v>64606218</v>
      </c>
    </row>
    <row r="7" spans="1:7" ht="13.5" customHeight="1">
      <c r="A7" s="207">
        <v>40909</v>
      </c>
      <c r="B7" s="208"/>
      <c r="C7" s="209"/>
      <c r="D7" s="210">
        <v>29</v>
      </c>
      <c r="E7" s="211">
        <v>15495.76</v>
      </c>
      <c r="F7" s="211">
        <v>64607199</v>
      </c>
      <c r="G7" s="212">
        <v>64606218</v>
      </c>
    </row>
    <row r="8" spans="1:7" ht="9" hidden="1" customHeight="1">
      <c r="A8" s="213">
        <v>41275</v>
      </c>
      <c r="B8" s="214">
        <v>43831</v>
      </c>
      <c r="C8" s="215">
        <v>43831</v>
      </c>
      <c r="D8" s="216">
        <v>33</v>
      </c>
      <c r="E8" s="217">
        <v>15776.88</v>
      </c>
      <c r="F8" s="217">
        <v>79653499</v>
      </c>
      <c r="G8" s="218">
        <v>79879943</v>
      </c>
    </row>
    <row r="9" spans="1:7" ht="9" hidden="1" customHeight="1">
      <c r="A9" s="219"/>
      <c r="B9" s="220"/>
      <c r="C9" s="215">
        <v>43862</v>
      </c>
      <c r="D9" s="216">
        <v>18</v>
      </c>
      <c r="E9" s="217">
        <v>10892.1</v>
      </c>
      <c r="F9" s="217">
        <v>39708573</v>
      </c>
      <c r="G9" s="218">
        <v>40732635</v>
      </c>
    </row>
    <row r="10" spans="1:7" ht="9" hidden="1" customHeight="1">
      <c r="A10" s="219"/>
      <c r="B10" s="220"/>
      <c r="C10" s="215">
        <v>43891</v>
      </c>
      <c r="D10" s="216">
        <v>19</v>
      </c>
      <c r="E10" s="217">
        <v>9788.42</v>
      </c>
      <c r="F10" s="217">
        <v>45968937</v>
      </c>
      <c r="G10" s="218">
        <v>45978132</v>
      </c>
    </row>
    <row r="11" spans="1:7" ht="9" hidden="1" customHeight="1">
      <c r="A11" s="219"/>
      <c r="B11" s="214">
        <v>43831</v>
      </c>
      <c r="C11" s="221"/>
      <c r="D11" s="216">
        <v>70</v>
      </c>
      <c r="E11" s="217">
        <v>36457.4</v>
      </c>
      <c r="F11" s="217">
        <v>165331009</v>
      </c>
      <c r="G11" s="218">
        <v>166590710</v>
      </c>
    </row>
    <row r="12" spans="1:7" ht="9" hidden="1" customHeight="1">
      <c r="A12" s="219"/>
      <c r="B12" s="214">
        <v>43922</v>
      </c>
      <c r="C12" s="215">
        <v>43922</v>
      </c>
      <c r="D12" s="216">
        <v>28</v>
      </c>
      <c r="E12" s="217">
        <v>15118.04</v>
      </c>
      <c r="F12" s="217">
        <v>63738421</v>
      </c>
      <c r="G12" s="218">
        <v>63740323</v>
      </c>
    </row>
    <row r="13" spans="1:7" ht="9" hidden="1" customHeight="1">
      <c r="A13" s="219"/>
      <c r="B13" s="220"/>
      <c r="C13" s="215">
        <v>43952</v>
      </c>
      <c r="D13" s="216">
        <v>14</v>
      </c>
      <c r="E13" s="217">
        <v>7820.53</v>
      </c>
      <c r="F13" s="217">
        <v>33586917</v>
      </c>
      <c r="G13" s="218">
        <v>33599760</v>
      </c>
    </row>
    <row r="14" spans="1:7" ht="9" hidden="1" customHeight="1">
      <c r="A14" s="219"/>
      <c r="B14" s="220"/>
      <c r="C14" s="215">
        <v>43983</v>
      </c>
      <c r="D14" s="216">
        <v>11</v>
      </c>
      <c r="E14" s="217">
        <v>6717.85</v>
      </c>
      <c r="F14" s="217">
        <v>19741582</v>
      </c>
      <c r="G14" s="218">
        <v>19741259</v>
      </c>
    </row>
    <row r="15" spans="1:7" ht="9" hidden="1" customHeight="1">
      <c r="A15" s="219"/>
      <c r="B15" s="214">
        <v>43922</v>
      </c>
      <c r="C15" s="221"/>
      <c r="D15" s="216">
        <v>53</v>
      </c>
      <c r="E15" s="217">
        <v>29656.42</v>
      </c>
      <c r="F15" s="217">
        <v>117066920</v>
      </c>
      <c r="G15" s="218">
        <v>117081342</v>
      </c>
    </row>
    <row r="16" spans="1:7" ht="9" hidden="1" customHeight="1">
      <c r="A16" s="219"/>
      <c r="B16" s="214">
        <v>44013</v>
      </c>
      <c r="C16" s="215">
        <v>44013</v>
      </c>
      <c r="D16" s="216">
        <v>13</v>
      </c>
      <c r="E16" s="217">
        <v>7311.42</v>
      </c>
      <c r="F16" s="217">
        <v>37605172</v>
      </c>
      <c r="G16" s="218">
        <v>37617861</v>
      </c>
    </row>
    <row r="17" spans="1:7" ht="9" hidden="1" customHeight="1">
      <c r="A17" s="219"/>
      <c r="B17" s="220"/>
      <c r="C17" s="215">
        <v>44044</v>
      </c>
      <c r="D17" s="216">
        <v>14</v>
      </c>
      <c r="E17" s="217">
        <v>7329.01</v>
      </c>
      <c r="F17" s="217">
        <v>31938383</v>
      </c>
      <c r="G17" s="218">
        <v>32065135</v>
      </c>
    </row>
    <row r="18" spans="1:7" ht="9" hidden="1" customHeight="1">
      <c r="A18" s="219"/>
      <c r="B18" s="220"/>
      <c r="C18" s="215">
        <v>44075</v>
      </c>
      <c r="D18" s="216">
        <v>23</v>
      </c>
      <c r="E18" s="217">
        <v>13965.77</v>
      </c>
      <c r="F18" s="217">
        <v>56774309</v>
      </c>
      <c r="G18" s="218">
        <v>56854566</v>
      </c>
    </row>
    <row r="19" spans="1:7" ht="9" hidden="1" customHeight="1">
      <c r="A19" s="219"/>
      <c r="B19" s="214">
        <v>44013</v>
      </c>
      <c r="C19" s="221"/>
      <c r="D19" s="216">
        <v>50</v>
      </c>
      <c r="E19" s="217">
        <v>28606.2</v>
      </c>
      <c r="F19" s="217">
        <v>126317864</v>
      </c>
      <c r="G19" s="218">
        <v>126537562</v>
      </c>
    </row>
    <row r="20" spans="1:7" ht="9" hidden="1" customHeight="1">
      <c r="A20" s="219"/>
      <c r="B20" s="214">
        <v>44105</v>
      </c>
      <c r="C20" s="215">
        <v>44105</v>
      </c>
      <c r="D20" s="216">
        <v>17</v>
      </c>
      <c r="E20" s="217">
        <v>8644.15</v>
      </c>
      <c r="F20" s="217">
        <v>42874189</v>
      </c>
      <c r="G20" s="218">
        <v>43102446</v>
      </c>
    </row>
    <row r="21" spans="1:7" ht="9" hidden="1" customHeight="1">
      <c r="A21" s="219"/>
      <c r="B21" s="220"/>
      <c r="C21" s="215">
        <v>44136</v>
      </c>
      <c r="D21" s="216">
        <v>15</v>
      </c>
      <c r="E21" s="217">
        <v>7258.13</v>
      </c>
      <c r="F21" s="217">
        <v>41811793</v>
      </c>
      <c r="G21" s="218">
        <v>41991904</v>
      </c>
    </row>
    <row r="22" spans="1:7" ht="9" hidden="1" customHeight="1">
      <c r="A22" s="219"/>
      <c r="B22" s="220"/>
      <c r="C22" s="215">
        <v>44166</v>
      </c>
      <c r="D22" s="216">
        <v>11</v>
      </c>
      <c r="E22" s="217">
        <v>5471.21</v>
      </c>
      <c r="F22" s="217">
        <v>25445608</v>
      </c>
      <c r="G22" s="218">
        <v>25444977</v>
      </c>
    </row>
    <row r="23" spans="1:7" ht="9" hidden="1" customHeight="1">
      <c r="A23" s="219"/>
      <c r="B23" s="214">
        <v>44105</v>
      </c>
      <c r="C23" s="221"/>
      <c r="D23" s="216">
        <v>43</v>
      </c>
      <c r="E23" s="217">
        <v>21373.49</v>
      </c>
      <c r="F23" s="217">
        <v>110131590</v>
      </c>
      <c r="G23" s="218">
        <v>110539327</v>
      </c>
    </row>
    <row r="24" spans="1:7" ht="13.5" customHeight="1">
      <c r="A24" s="213">
        <v>41275</v>
      </c>
      <c r="B24" s="220"/>
      <c r="C24" s="221"/>
      <c r="D24" s="216">
        <v>216</v>
      </c>
      <c r="E24" s="217">
        <v>116093.51</v>
      </c>
      <c r="F24" s="217">
        <v>518847383</v>
      </c>
      <c r="G24" s="218">
        <v>520748941</v>
      </c>
    </row>
    <row r="25" spans="1:7" ht="9" hidden="1" customHeight="1">
      <c r="A25" s="213">
        <v>41640</v>
      </c>
      <c r="B25" s="214">
        <v>43831</v>
      </c>
      <c r="C25" s="215">
        <v>43831</v>
      </c>
      <c r="D25" s="216">
        <v>21</v>
      </c>
      <c r="E25" s="217">
        <v>10023.34</v>
      </c>
      <c r="F25" s="217">
        <v>53394300</v>
      </c>
      <c r="G25" s="218">
        <v>53561816</v>
      </c>
    </row>
    <row r="26" spans="1:7" ht="9" hidden="1" customHeight="1">
      <c r="A26" s="219"/>
      <c r="B26" s="220"/>
      <c r="C26" s="215">
        <v>43862</v>
      </c>
      <c r="D26" s="216">
        <v>11</v>
      </c>
      <c r="E26" s="217">
        <v>4341.8900000000003</v>
      </c>
      <c r="F26" s="217">
        <v>17208806</v>
      </c>
      <c r="G26" s="218">
        <v>17345988</v>
      </c>
    </row>
    <row r="27" spans="1:7" ht="9" hidden="1" customHeight="1">
      <c r="A27" s="219"/>
      <c r="B27" s="220"/>
      <c r="C27" s="215">
        <v>43891</v>
      </c>
      <c r="D27" s="216">
        <v>14</v>
      </c>
      <c r="E27" s="217">
        <v>5875.78</v>
      </c>
      <c r="F27" s="217">
        <v>29126932</v>
      </c>
      <c r="G27" s="218">
        <v>29159221</v>
      </c>
    </row>
    <row r="28" spans="1:7" ht="9" hidden="1" customHeight="1">
      <c r="A28" s="219"/>
      <c r="B28" s="214">
        <v>43831</v>
      </c>
      <c r="C28" s="221"/>
      <c r="D28" s="216">
        <v>46</v>
      </c>
      <c r="E28" s="217">
        <v>20241.009999999998</v>
      </c>
      <c r="F28" s="217">
        <v>99730038</v>
      </c>
      <c r="G28" s="218">
        <v>100067025</v>
      </c>
    </row>
    <row r="29" spans="1:7" ht="9" hidden="1" customHeight="1">
      <c r="A29" s="219"/>
      <c r="B29" s="214">
        <v>43922</v>
      </c>
      <c r="C29" s="215">
        <v>43922</v>
      </c>
      <c r="D29" s="216">
        <v>7</v>
      </c>
      <c r="E29" s="217">
        <v>2978.2</v>
      </c>
      <c r="F29" s="217">
        <v>16379741</v>
      </c>
      <c r="G29" s="218">
        <v>16378947</v>
      </c>
    </row>
    <row r="30" spans="1:7" ht="9" hidden="1" customHeight="1">
      <c r="A30" s="219"/>
      <c r="B30" s="220"/>
      <c r="C30" s="215">
        <v>43952</v>
      </c>
      <c r="D30" s="216">
        <v>20</v>
      </c>
      <c r="E30" s="217">
        <v>9323.83</v>
      </c>
      <c r="F30" s="217">
        <v>44887670</v>
      </c>
      <c r="G30" s="218">
        <v>44941182</v>
      </c>
    </row>
    <row r="31" spans="1:7" ht="9" hidden="1" customHeight="1">
      <c r="A31" s="219"/>
      <c r="B31" s="220"/>
      <c r="C31" s="215">
        <v>43983</v>
      </c>
      <c r="D31" s="216">
        <v>5</v>
      </c>
      <c r="E31" s="217">
        <v>2084.7399999999998</v>
      </c>
      <c r="F31" s="217">
        <v>12417368</v>
      </c>
      <c r="G31" s="218">
        <v>12418125</v>
      </c>
    </row>
    <row r="32" spans="1:7" ht="9" hidden="1" customHeight="1">
      <c r="A32" s="219"/>
      <c r="B32" s="214">
        <v>43922</v>
      </c>
      <c r="C32" s="221"/>
      <c r="D32" s="216">
        <v>32</v>
      </c>
      <c r="E32" s="217">
        <v>14386.77</v>
      </c>
      <c r="F32" s="217">
        <v>73684779</v>
      </c>
      <c r="G32" s="218">
        <v>73738254</v>
      </c>
    </row>
    <row r="33" spans="1:7" ht="9" hidden="1" customHeight="1">
      <c r="A33" s="219"/>
      <c r="B33" s="214">
        <v>44013</v>
      </c>
      <c r="C33" s="215">
        <v>44013</v>
      </c>
      <c r="D33" s="216">
        <v>6</v>
      </c>
      <c r="E33" s="217">
        <v>2096.4899999999998</v>
      </c>
      <c r="F33" s="217">
        <v>13654827</v>
      </c>
      <c r="G33" s="218">
        <v>13649381</v>
      </c>
    </row>
    <row r="34" spans="1:7" ht="9" hidden="1" customHeight="1">
      <c r="A34" s="219"/>
      <c r="B34" s="220"/>
      <c r="C34" s="215">
        <v>44044</v>
      </c>
      <c r="D34" s="216">
        <v>2</v>
      </c>
      <c r="E34" s="217">
        <v>1377.6</v>
      </c>
      <c r="F34" s="217">
        <v>5787994</v>
      </c>
      <c r="G34" s="218">
        <v>5787994</v>
      </c>
    </row>
    <row r="35" spans="1:7" ht="9" hidden="1" customHeight="1">
      <c r="A35" s="219"/>
      <c r="B35" s="220"/>
      <c r="C35" s="215">
        <v>44075</v>
      </c>
      <c r="D35" s="216">
        <v>12</v>
      </c>
      <c r="E35" s="217">
        <v>5442.3</v>
      </c>
      <c r="F35" s="217">
        <v>28750882</v>
      </c>
      <c r="G35" s="218">
        <v>28750885</v>
      </c>
    </row>
    <row r="36" spans="1:7" ht="9" hidden="1" customHeight="1">
      <c r="A36" s="219"/>
      <c r="B36" s="214">
        <v>44013</v>
      </c>
      <c r="C36" s="221"/>
      <c r="D36" s="216">
        <v>20</v>
      </c>
      <c r="E36" s="217">
        <v>8916.39</v>
      </c>
      <c r="F36" s="217">
        <v>48193703</v>
      </c>
      <c r="G36" s="218">
        <v>48188260</v>
      </c>
    </row>
    <row r="37" spans="1:7" ht="9" hidden="1" customHeight="1">
      <c r="A37" s="219"/>
      <c r="B37" s="214">
        <v>44105</v>
      </c>
      <c r="C37" s="215">
        <v>44105</v>
      </c>
      <c r="D37" s="216">
        <v>14</v>
      </c>
      <c r="E37" s="217">
        <v>7317.3</v>
      </c>
      <c r="F37" s="217">
        <v>40684234</v>
      </c>
      <c r="G37" s="218">
        <v>40684237</v>
      </c>
    </row>
    <row r="38" spans="1:7" ht="9" hidden="1" customHeight="1">
      <c r="A38" s="219"/>
      <c r="B38" s="220"/>
      <c r="C38" s="215">
        <v>44136</v>
      </c>
      <c r="D38" s="216">
        <v>12</v>
      </c>
      <c r="E38" s="217">
        <v>5752.53</v>
      </c>
      <c r="F38" s="217">
        <v>38585983</v>
      </c>
      <c r="G38" s="218">
        <v>38739565</v>
      </c>
    </row>
    <row r="39" spans="1:7" ht="9" hidden="1" customHeight="1">
      <c r="A39" s="219"/>
      <c r="B39" s="220"/>
      <c r="C39" s="215">
        <v>44166</v>
      </c>
      <c r="D39" s="216">
        <v>4</v>
      </c>
      <c r="E39" s="217">
        <v>2613.67</v>
      </c>
      <c r="F39" s="217">
        <v>9744954</v>
      </c>
      <c r="G39" s="218">
        <v>10238266</v>
      </c>
    </row>
    <row r="40" spans="1:7" ht="9" hidden="1" customHeight="1">
      <c r="A40" s="219"/>
      <c r="B40" s="214">
        <v>44105</v>
      </c>
      <c r="C40" s="221"/>
      <c r="D40" s="216">
        <v>30</v>
      </c>
      <c r="E40" s="217">
        <v>15683.5</v>
      </c>
      <c r="F40" s="217">
        <v>89015171</v>
      </c>
      <c r="G40" s="218">
        <v>89662068</v>
      </c>
    </row>
    <row r="41" spans="1:7" ht="13.5" customHeight="1">
      <c r="A41" s="213">
        <v>41640</v>
      </c>
      <c r="B41" s="220"/>
      <c r="C41" s="221"/>
      <c r="D41" s="216">
        <v>128</v>
      </c>
      <c r="E41" s="217">
        <v>59227.67</v>
      </c>
      <c r="F41" s="217">
        <v>310623691</v>
      </c>
      <c r="G41" s="218">
        <v>311655607</v>
      </c>
    </row>
    <row r="42" spans="1:7" ht="9" hidden="1" customHeight="1">
      <c r="A42" s="213">
        <v>42005</v>
      </c>
      <c r="B42" s="214">
        <v>43831</v>
      </c>
      <c r="C42" s="215">
        <v>43831</v>
      </c>
      <c r="D42" s="216">
        <v>8</v>
      </c>
      <c r="E42" s="217">
        <v>4756.41</v>
      </c>
      <c r="F42" s="217">
        <v>25144572</v>
      </c>
      <c r="G42" s="218">
        <v>25159847</v>
      </c>
    </row>
    <row r="43" spans="1:7" ht="9" hidden="1" customHeight="1">
      <c r="A43" s="219"/>
      <c r="B43" s="220"/>
      <c r="C43" s="215">
        <v>43862</v>
      </c>
      <c r="D43" s="216">
        <v>7</v>
      </c>
      <c r="E43" s="217">
        <v>3671.81</v>
      </c>
      <c r="F43" s="217">
        <v>16046718</v>
      </c>
      <c r="G43" s="218">
        <v>16069597</v>
      </c>
    </row>
    <row r="44" spans="1:7" ht="9" hidden="1" customHeight="1">
      <c r="A44" s="219"/>
      <c r="B44" s="220"/>
      <c r="C44" s="215">
        <v>43891</v>
      </c>
      <c r="D44" s="216">
        <v>5</v>
      </c>
      <c r="E44" s="217">
        <v>2289.73</v>
      </c>
      <c r="F44" s="217">
        <v>12225706</v>
      </c>
      <c r="G44" s="218">
        <v>12398603</v>
      </c>
    </row>
    <row r="45" spans="1:7" ht="9" hidden="1" customHeight="1">
      <c r="A45" s="219"/>
      <c r="B45" s="214">
        <v>43831</v>
      </c>
      <c r="C45" s="221"/>
      <c r="D45" s="216">
        <v>20</v>
      </c>
      <c r="E45" s="217">
        <v>10717.95</v>
      </c>
      <c r="F45" s="217">
        <v>53416996</v>
      </c>
      <c r="G45" s="218">
        <v>53628047</v>
      </c>
    </row>
    <row r="46" spans="1:7" ht="9" hidden="1" customHeight="1">
      <c r="A46" s="219"/>
      <c r="B46" s="214">
        <v>43922</v>
      </c>
      <c r="C46" s="215">
        <v>43922</v>
      </c>
      <c r="D46" s="216">
        <v>3</v>
      </c>
      <c r="E46" s="217">
        <v>2284.9699999999998</v>
      </c>
      <c r="F46" s="217">
        <v>9617823</v>
      </c>
      <c r="G46" s="218">
        <v>9617740</v>
      </c>
    </row>
    <row r="47" spans="1:7" ht="9" hidden="1" customHeight="1">
      <c r="A47" s="219"/>
      <c r="B47" s="220"/>
      <c r="C47" s="215">
        <v>43952</v>
      </c>
      <c r="D47" s="216">
        <v>4</v>
      </c>
      <c r="E47" s="217">
        <v>1816.22</v>
      </c>
      <c r="F47" s="217">
        <v>8249282</v>
      </c>
      <c r="G47" s="218">
        <v>8393014</v>
      </c>
    </row>
    <row r="48" spans="1:7" ht="9" hidden="1" customHeight="1">
      <c r="A48" s="219"/>
      <c r="B48" s="220"/>
      <c r="C48" s="215">
        <v>43983</v>
      </c>
      <c r="D48" s="216">
        <v>7</v>
      </c>
      <c r="E48" s="217">
        <v>3215.01</v>
      </c>
      <c r="F48" s="217">
        <v>12270369</v>
      </c>
      <c r="G48" s="218">
        <v>12587113</v>
      </c>
    </row>
    <row r="49" spans="1:7" ht="9" hidden="1" customHeight="1">
      <c r="A49" s="219"/>
      <c r="B49" s="214">
        <v>43922</v>
      </c>
      <c r="C49" s="221"/>
      <c r="D49" s="216">
        <v>14</v>
      </c>
      <c r="E49" s="217">
        <v>7316.2</v>
      </c>
      <c r="F49" s="217">
        <v>30137474</v>
      </c>
      <c r="G49" s="218">
        <v>30597867</v>
      </c>
    </row>
    <row r="50" spans="1:7" ht="9" hidden="1" customHeight="1">
      <c r="A50" s="219"/>
      <c r="B50" s="214">
        <v>44013</v>
      </c>
      <c r="C50" s="215">
        <v>44013</v>
      </c>
      <c r="D50" s="216">
        <v>4</v>
      </c>
      <c r="E50" s="217">
        <v>1667.31</v>
      </c>
      <c r="F50" s="217">
        <v>10380547</v>
      </c>
      <c r="G50" s="218">
        <v>10407136</v>
      </c>
    </row>
    <row r="51" spans="1:7" ht="9" hidden="1" customHeight="1">
      <c r="A51" s="219"/>
      <c r="B51" s="220"/>
      <c r="C51" s="215">
        <v>44044</v>
      </c>
      <c r="D51" s="216">
        <v>12</v>
      </c>
      <c r="E51" s="217">
        <v>6553.36</v>
      </c>
      <c r="F51" s="217">
        <v>35771248</v>
      </c>
      <c r="G51" s="218">
        <v>36264120</v>
      </c>
    </row>
    <row r="52" spans="1:7" ht="9" hidden="1" customHeight="1">
      <c r="A52" s="219"/>
      <c r="B52" s="220"/>
      <c r="C52" s="215">
        <v>44075</v>
      </c>
      <c r="D52" s="216">
        <v>9</v>
      </c>
      <c r="E52" s="217">
        <v>5048.1899999999996</v>
      </c>
      <c r="F52" s="217">
        <v>23711385</v>
      </c>
      <c r="G52" s="218">
        <v>23781709</v>
      </c>
    </row>
    <row r="53" spans="1:7" ht="9" hidden="1" customHeight="1">
      <c r="A53" s="219"/>
      <c r="B53" s="214">
        <v>44013</v>
      </c>
      <c r="C53" s="221"/>
      <c r="D53" s="216">
        <v>25</v>
      </c>
      <c r="E53" s="217">
        <v>13268.86</v>
      </c>
      <c r="F53" s="217">
        <v>69863180</v>
      </c>
      <c r="G53" s="218">
        <v>70452965</v>
      </c>
    </row>
    <row r="54" spans="1:7" ht="9" hidden="1" customHeight="1">
      <c r="A54" s="219"/>
      <c r="B54" s="214">
        <v>44105</v>
      </c>
      <c r="C54" s="215">
        <v>44105</v>
      </c>
      <c r="D54" s="216">
        <v>7</v>
      </c>
      <c r="E54" s="217">
        <v>2887.89</v>
      </c>
      <c r="F54" s="217">
        <v>15642133</v>
      </c>
      <c r="G54" s="218">
        <v>15665200</v>
      </c>
    </row>
    <row r="55" spans="1:7" ht="9" hidden="1" customHeight="1">
      <c r="A55" s="219"/>
      <c r="B55" s="220"/>
      <c r="C55" s="215">
        <v>44136</v>
      </c>
      <c r="D55" s="216">
        <v>12</v>
      </c>
      <c r="E55" s="217">
        <v>6269.79</v>
      </c>
      <c r="F55" s="217">
        <v>31164805</v>
      </c>
      <c r="G55" s="218">
        <v>32035152</v>
      </c>
    </row>
    <row r="56" spans="1:7" ht="9" hidden="1" customHeight="1">
      <c r="A56" s="219"/>
      <c r="B56" s="220"/>
      <c r="C56" s="215">
        <v>44166</v>
      </c>
      <c r="D56" s="216">
        <v>16</v>
      </c>
      <c r="E56" s="217">
        <v>7765.24</v>
      </c>
      <c r="F56" s="217">
        <v>44664083</v>
      </c>
      <c r="G56" s="218">
        <v>45891997</v>
      </c>
    </row>
    <row r="57" spans="1:7" ht="9" hidden="1" customHeight="1">
      <c r="A57" s="219"/>
      <c r="B57" s="214">
        <v>44105</v>
      </c>
      <c r="C57" s="221"/>
      <c r="D57" s="216">
        <v>35</v>
      </c>
      <c r="E57" s="217">
        <v>16922.919999999998</v>
      </c>
      <c r="F57" s="217">
        <v>91471021</v>
      </c>
      <c r="G57" s="218">
        <v>93592349</v>
      </c>
    </row>
    <row r="58" spans="1:7" ht="13.5" customHeight="1">
      <c r="A58" s="213">
        <v>42005</v>
      </c>
      <c r="B58" s="220"/>
      <c r="C58" s="221"/>
      <c r="D58" s="216">
        <v>94</v>
      </c>
      <c r="E58" s="217">
        <v>48225.93</v>
      </c>
      <c r="F58" s="217">
        <v>244888671</v>
      </c>
      <c r="G58" s="218">
        <v>248271228</v>
      </c>
    </row>
    <row r="59" spans="1:7" ht="9" hidden="1" customHeight="1">
      <c r="A59" s="213">
        <v>42370</v>
      </c>
      <c r="B59" s="214">
        <v>43831</v>
      </c>
      <c r="C59" s="215">
        <v>43831</v>
      </c>
      <c r="D59" s="216">
        <v>10</v>
      </c>
      <c r="E59" s="217">
        <v>5486.91</v>
      </c>
      <c r="F59" s="217">
        <v>28242423</v>
      </c>
      <c r="G59" s="218">
        <v>28381251</v>
      </c>
    </row>
    <row r="60" spans="1:7" ht="9" hidden="1" customHeight="1">
      <c r="A60" s="219"/>
      <c r="B60" s="220"/>
      <c r="C60" s="215">
        <v>43862</v>
      </c>
      <c r="D60" s="216">
        <v>3</v>
      </c>
      <c r="E60" s="217">
        <v>2119.7600000000002</v>
      </c>
      <c r="F60" s="217">
        <v>10774912</v>
      </c>
      <c r="G60" s="218">
        <v>10774912</v>
      </c>
    </row>
    <row r="61" spans="1:7" ht="9" hidden="1" customHeight="1">
      <c r="A61" s="219"/>
      <c r="B61" s="220"/>
      <c r="C61" s="215">
        <v>43891</v>
      </c>
      <c r="D61" s="216">
        <v>8</v>
      </c>
      <c r="E61" s="217">
        <v>3883.55</v>
      </c>
      <c r="F61" s="217">
        <v>24317152</v>
      </c>
      <c r="G61" s="218">
        <v>24329824</v>
      </c>
    </row>
    <row r="62" spans="1:7" ht="9" hidden="1" customHeight="1">
      <c r="A62" s="219"/>
      <c r="B62" s="214">
        <v>43831</v>
      </c>
      <c r="C62" s="221"/>
      <c r="D62" s="216">
        <v>21</v>
      </c>
      <c r="E62" s="217">
        <v>11490.22</v>
      </c>
      <c r="F62" s="217">
        <v>63334487</v>
      </c>
      <c r="G62" s="218">
        <v>63485987</v>
      </c>
    </row>
    <row r="63" spans="1:7" ht="9" hidden="1" customHeight="1">
      <c r="A63" s="219"/>
      <c r="B63" s="214">
        <v>43922</v>
      </c>
      <c r="C63" s="215">
        <v>43922</v>
      </c>
      <c r="D63" s="216">
        <v>13</v>
      </c>
      <c r="E63" s="217">
        <v>6069.96</v>
      </c>
      <c r="F63" s="217">
        <v>29717638</v>
      </c>
      <c r="G63" s="218">
        <v>33134779</v>
      </c>
    </row>
    <row r="64" spans="1:7" ht="9" hidden="1" customHeight="1">
      <c r="A64" s="219"/>
      <c r="B64" s="220"/>
      <c r="C64" s="215">
        <v>43952</v>
      </c>
      <c r="D64" s="216">
        <v>18</v>
      </c>
      <c r="E64" s="217">
        <v>7024.43</v>
      </c>
      <c r="F64" s="217">
        <v>22349572</v>
      </c>
      <c r="G64" s="218">
        <v>22423383</v>
      </c>
    </row>
    <row r="65" spans="1:7" ht="9" hidden="1" customHeight="1">
      <c r="A65" s="219"/>
      <c r="B65" s="220"/>
      <c r="C65" s="215">
        <v>43983</v>
      </c>
      <c r="D65" s="216">
        <v>8</v>
      </c>
      <c r="E65" s="217">
        <v>3109.7</v>
      </c>
      <c r="F65" s="217">
        <v>18689307</v>
      </c>
      <c r="G65" s="218">
        <v>19425466</v>
      </c>
    </row>
    <row r="66" spans="1:7" ht="9" hidden="1" customHeight="1">
      <c r="A66" s="219"/>
      <c r="B66" s="214">
        <v>43922</v>
      </c>
      <c r="C66" s="221"/>
      <c r="D66" s="216">
        <v>39</v>
      </c>
      <c r="E66" s="217">
        <v>16204.09</v>
      </c>
      <c r="F66" s="217">
        <v>70756517</v>
      </c>
      <c r="G66" s="218">
        <v>74983628</v>
      </c>
    </row>
    <row r="67" spans="1:7" ht="9" hidden="1" customHeight="1">
      <c r="A67" s="219"/>
      <c r="B67" s="214">
        <v>44013</v>
      </c>
      <c r="C67" s="215">
        <v>44013</v>
      </c>
      <c r="D67" s="216">
        <v>14</v>
      </c>
      <c r="E67" s="217">
        <v>7405.2</v>
      </c>
      <c r="F67" s="217">
        <v>39250328</v>
      </c>
      <c r="G67" s="218">
        <v>40999017</v>
      </c>
    </row>
    <row r="68" spans="1:7" ht="9" hidden="1" customHeight="1">
      <c r="A68" s="219"/>
      <c r="B68" s="220"/>
      <c r="C68" s="215">
        <v>44044</v>
      </c>
      <c r="D68" s="216">
        <v>9</v>
      </c>
      <c r="E68" s="217">
        <v>4386.82</v>
      </c>
      <c r="F68" s="217">
        <v>21508441</v>
      </c>
      <c r="G68" s="218">
        <v>22669190</v>
      </c>
    </row>
    <row r="69" spans="1:7" ht="9" hidden="1" customHeight="1">
      <c r="A69" s="219"/>
      <c r="B69" s="220"/>
      <c r="C69" s="215">
        <v>44075</v>
      </c>
      <c r="D69" s="216">
        <v>3</v>
      </c>
      <c r="E69" s="217">
        <v>1384.14</v>
      </c>
      <c r="F69" s="217">
        <v>6801369</v>
      </c>
      <c r="G69" s="218">
        <v>6962852</v>
      </c>
    </row>
    <row r="70" spans="1:7" ht="9" hidden="1" customHeight="1">
      <c r="A70" s="219"/>
      <c r="B70" s="214">
        <v>44013</v>
      </c>
      <c r="C70" s="221"/>
      <c r="D70" s="216">
        <v>26</v>
      </c>
      <c r="E70" s="217">
        <v>13176.16</v>
      </c>
      <c r="F70" s="217">
        <v>67560138</v>
      </c>
      <c r="G70" s="218">
        <v>70631059</v>
      </c>
    </row>
    <row r="71" spans="1:7" ht="9" hidden="1" customHeight="1">
      <c r="A71" s="219"/>
      <c r="B71" s="214">
        <v>44105</v>
      </c>
      <c r="C71" s="215">
        <v>44105</v>
      </c>
      <c r="D71" s="216">
        <v>8</v>
      </c>
      <c r="E71" s="217">
        <v>3450.59</v>
      </c>
      <c r="F71" s="217">
        <v>14156276</v>
      </c>
      <c r="G71" s="218">
        <v>14310899</v>
      </c>
    </row>
    <row r="72" spans="1:7" ht="9" hidden="1" customHeight="1">
      <c r="A72" s="219"/>
      <c r="B72" s="220"/>
      <c r="C72" s="215">
        <v>44136</v>
      </c>
      <c r="D72" s="216">
        <v>28</v>
      </c>
      <c r="E72" s="217">
        <v>14581.17</v>
      </c>
      <c r="F72" s="217">
        <v>39121038</v>
      </c>
      <c r="G72" s="218">
        <v>40105379</v>
      </c>
    </row>
    <row r="73" spans="1:7" ht="9" hidden="1" customHeight="1">
      <c r="A73" s="219"/>
      <c r="B73" s="220"/>
      <c r="C73" s="215">
        <v>44166</v>
      </c>
      <c r="D73" s="216">
        <v>28</v>
      </c>
      <c r="E73" s="217">
        <v>14702.5</v>
      </c>
      <c r="F73" s="217">
        <v>41171706</v>
      </c>
      <c r="G73" s="218">
        <v>41854239</v>
      </c>
    </row>
    <row r="74" spans="1:7" ht="9" hidden="1" customHeight="1">
      <c r="A74" s="219"/>
      <c r="B74" s="214">
        <v>44105</v>
      </c>
      <c r="C74" s="221"/>
      <c r="D74" s="216">
        <v>64</v>
      </c>
      <c r="E74" s="217">
        <v>32734.26</v>
      </c>
      <c r="F74" s="217">
        <v>94449020</v>
      </c>
      <c r="G74" s="218">
        <v>96270517</v>
      </c>
    </row>
    <row r="75" spans="1:7" ht="13.5" customHeight="1">
      <c r="A75" s="213">
        <v>42370</v>
      </c>
      <c r="B75" s="220"/>
      <c r="C75" s="221"/>
      <c r="D75" s="216">
        <v>150</v>
      </c>
      <c r="E75" s="217">
        <v>73604.73</v>
      </c>
      <c r="F75" s="217">
        <v>296100162</v>
      </c>
      <c r="G75" s="218">
        <v>305371191</v>
      </c>
    </row>
    <row r="76" spans="1:7" ht="9" hidden="1" customHeight="1">
      <c r="A76" s="213">
        <v>42736</v>
      </c>
      <c r="B76" s="214">
        <v>43831</v>
      </c>
      <c r="C76" s="215">
        <v>43831</v>
      </c>
      <c r="D76" s="216">
        <v>4</v>
      </c>
      <c r="E76" s="217">
        <v>2808.11</v>
      </c>
      <c r="F76" s="217">
        <v>8576988</v>
      </c>
      <c r="G76" s="218">
        <v>8576984</v>
      </c>
    </row>
    <row r="77" spans="1:7" ht="9" hidden="1" customHeight="1">
      <c r="A77" s="219"/>
      <c r="B77" s="220"/>
      <c r="C77" s="215">
        <v>43862</v>
      </c>
      <c r="D77" s="216">
        <v>11</v>
      </c>
      <c r="E77" s="217">
        <v>7397.92</v>
      </c>
      <c r="F77" s="217">
        <v>46757772</v>
      </c>
      <c r="G77" s="218">
        <v>46665804</v>
      </c>
    </row>
    <row r="78" spans="1:7" ht="9" hidden="1" customHeight="1">
      <c r="A78" s="219"/>
      <c r="B78" s="220"/>
      <c r="C78" s="215">
        <v>43891</v>
      </c>
      <c r="D78" s="216">
        <v>16</v>
      </c>
      <c r="E78" s="217">
        <v>7991.71</v>
      </c>
      <c r="F78" s="217">
        <v>35843957</v>
      </c>
      <c r="G78" s="218">
        <v>35843957</v>
      </c>
    </row>
    <row r="79" spans="1:7" ht="9" hidden="1" customHeight="1">
      <c r="A79" s="219"/>
      <c r="B79" s="214">
        <v>43831</v>
      </c>
      <c r="C79" s="221"/>
      <c r="D79" s="216">
        <v>31</v>
      </c>
      <c r="E79" s="217">
        <v>18197.740000000002</v>
      </c>
      <c r="F79" s="217">
        <v>91178717</v>
      </c>
      <c r="G79" s="218">
        <v>91086745</v>
      </c>
    </row>
    <row r="80" spans="1:7" ht="9" hidden="1" customHeight="1">
      <c r="A80" s="219"/>
      <c r="B80" s="214">
        <v>43922</v>
      </c>
      <c r="C80" s="215">
        <v>43922</v>
      </c>
      <c r="D80" s="216">
        <v>10</v>
      </c>
      <c r="E80" s="217">
        <v>5041.76</v>
      </c>
      <c r="F80" s="217">
        <v>21254645</v>
      </c>
      <c r="G80" s="218">
        <v>22523023</v>
      </c>
    </row>
    <row r="81" spans="1:7" ht="9" hidden="1" customHeight="1">
      <c r="A81" s="219"/>
      <c r="B81" s="220"/>
      <c r="C81" s="215">
        <v>43952</v>
      </c>
      <c r="D81" s="216">
        <v>17</v>
      </c>
      <c r="E81" s="217">
        <v>8667.4</v>
      </c>
      <c r="F81" s="217">
        <v>36896595</v>
      </c>
      <c r="G81" s="218">
        <v>38213376</v>
      </c>
    </row>
    <row r="82" spans="1:7" ht="9" hidden="1" customHeight="1">
      <c r="A82" s="219"/>
      <c r="B82" s="220"/>
      <c r="C82" s="215">
        <v>43983</v>
      </c>
      <c r="D82" s="216">
        <v>10</v>
      </c>
      <c r="E82" s="217">
        <v>6226.59</v>
      </c>
      <c r="F82" s="217">
        <v>19376123</v>
      </c>
      <c r="G82" s="218">
        <v>24740755</v>
      </c>
    </row>
    <row r="83" spans="1:7" ht="9" hidden="1" customHeight="1">
      <c r="A83" s="219"/>
      <c r="B83" s="214">
        <v>43922</v>
      </c>
      <c r="C83" s="221"/>
      <c r="D83" s="216">
        <v>37</v>
      </c>
      <c r="E83" s="217">
        <v>19935.75</v>
      </c>
      <c r="F83" s="217">
        <v>77527363</v>
      </c>
      <c r="G83" s="218">
        <v>85477154</v>
      </c>
    </row>
    <row r="84" spans="1:7" ht="9" hidden="1" customHeight="1">
      <c r="A84" s="219"/>
      <c r="B84" s="214">
        <v>44013</v>
      </c>
      <c r="C84" s="215">
        <v>44013</v>
      </c>
      <c r="D84" s="216">
        <v>8</v>
      </c>
      <c r="E84" s="217">
        <v>3330.36</v>
      </c>
      <c r="F84" s="217">
        <v>20248438</v>
      </c>
      <c r="G84" s="218">
        <v>20830538</v>
      </c>
    </row>
    <row r="85" spans="1:7" ht="9" hidden="1" customHeight="1">
      <c r="A85" s="219"/>
      <c r="B85" s="220"/>
      <c r="C85" s="215">
        <v>44044</v>
      </c>
      <c r="D85" s="216">
        <v>1</v>
      </c>
      <c r="E85" s="217">
        <v>297.82</v>
      </c>
      <c r="F85" s="217">
        <v>2063033</v>
      </c>
      <c r="G85" s="218">
        <v>2063714</v>
      </c>
    </row>
    <row r="86" spans="1:7" ht="9" hidden="1" customHeight="1">
      <c r="A86" s="219"/>
      <c r="B86" s="220"/>
      <c r="C86" s="215">
        <v>44075</v>
      </c>
      <c r="D86" s="216">
        <v>7</v>
      </c>
      <c r="E86" s="217">
        <v>5856.07</v>
      </c>
      <c r="F86" s="217">
        <v>18220498</v>
      </c>
      <c r="G86" s="218">
        <v>18226886</v>
      </c>
    </row>
    <row r="87" spans="1:7" ht="9" hidden="1" customHeight="1">
      <c r="A87" s="219"/>
      <c r="B87" s="214">
        <v>44013</v>
      </c>
      <c r="C87" s="221"/>
      <c r="D87" s="216">
        <v>16</v>
      </c>
      <c r="E87" s="217">
        <v>9484.25</v>
      </c>
      <c r="F87" s="217">
        <v>40531969</v>
      </c>
      <c r="G87" s="218">
        <v>41121138</v>
      </c>
    </row>
    <row r="88" spans="1:7" ht="9" hidden="1" customHeight="1">
      <c r="A88" s="219"/>
      <c r="B88" s="214">
        <v>44105</v>
      </c>
      <c r="C88" s="215">
        <v>44105</v>
      </c>
      <c r="D88" s="216">
        <v>15</v>
      </c>
      <c r="E88" s="217">
        <v>6930.48</v>
      </c>
      <c r="F88" s="217">
        <v>46761339</v>
      </c>
      <c r="G88" s="218">
        <v>47606544</v>
      </c>
    </row>
    <row r="89" spans="1:7" ht="9" hidden="1" customHeight="1">
      <c r="A89" s="219"/>
      <c r="B89" s="220"/>
      <c r="C89" s="215">
        <v>44136</v>
      </c>
      <c r="D89" s="216">
        <v>10</v>
      </c>
      <c r="E89" s="217">
        <v>5139.92</v>
      </c>
      <c r="F89" s="217">
        <v>37999723</v>
      </c>
      <c r="G89" s="218">
        <v>37999724</v>
      </c>
    </row>
    <row r="90" spans="1:7" ht="9" hidden="1" customHeight="1">
      <c r="A90" s="219"/>
      <c r="B90" s="220"/>
      <c r="C90" s="215">
        <v>44166</v>
      </c>
      <c r="D90" s="216">
        <v>6</v>
      </c>
      <c r="E90" s="217">
        <v>3187.33</v>
      </c>
      <c r="F90" s="217">
        <v>13653493</v>
      </c>
      <c r="G90" s="218">
        <v>15055138</v>
      </c>
    </row>
    <row r="91" spans="1:7" ht="9" hidden="1" customHeight="1">
      <c r="A91" s="219"/>
      <c r="B91" s="214">
        <v>44105</v>
      </c>
      <c r="C91" s="221"/>
      <c r="D91" s="216">
        <v>31</v>
      </c>
      <c r="E91" s="217">
        <v>15257.73</v>
      </c>
      <c r="F91" s="217">
        <v>98414555</v>
      </c>
      <c r="G91" s="218">
        <v>100661406</v>
      </c>
    </row>
    <row r="92" spans="1:7" ht="13.5" customHeight="1">
      <c r="A92" s="213">
        <v>42736</v>
      </c>
      <c r="B92" s="220"/>
      <c r="C92" s="221"/>
      <c r="D92" s="216">
        <v>115</v>
      </c>
      <c r="E92" s="217">
        <v>62875.47</v>
      </c>
      <c r="F92" s="217">
        <v>307652604</v>
      </c>
      <c r="G92" s="218">
        <v>318346443</v>
      </c>
    </row>
    <row r="93" spans="1:7" ht="9" hidden="1" customHeight="1">
      <c r="A93" s="213">
        <v>43101</v>
      </c>
      <c r="B93" s="214">
        <v>43831</v>
      </c>
      <c r="C93" s="215">
        <v>43831</v>
      </c>
      <c r="D93" s="216">
        <v>9</v>
      </c>
      <c r="E93" s="217">
        <v>4193.96</v>
      </c>
      <c r="F93" s="217">
        <v>18924008</v>
      </c>
      <c r="G93" s="218">
        <v>18872916</v>
      </c>
    </row>
    <row r="94" spans="1:7" ht="9" hidden="1" customHeight="1">
      <c r="A94" s="219"/>
      <c r="B94" s="220"/>
      <c r="C94" s="215">
        <v>43862</v>
      </c>
      <c r="D94" s="216">
        <v>2</v>
      </c>
      <c r="E94" s="217">
        <v>1159.22</v>
      </c>
      <c r="F94" s="217">
        <v>5650051</v>
      </c>
      <c r="G94" s="218">
        <v>5650052</v>
      </c>
    </row>
    <row r="95" spans="1:7" ht="9" hidden="1" customHeight="1">
      <c r="A95" s="219"/>
      <c r="B95" s="220"/>
      <c r="C95" s="215">
        <v>43891</v>
      </c>
      <c r="D95" s="216">
        <v>3</v>
      </c>
      <c r="E95" s="217">
        <v>893.46</v>
      </c>
      <c r="F95" s="217">
        <v>3952634</v>
      </c>
      <c r="G95" s="218">
        <v>4422851</v>
      </c>
    </row>
    <row r="96" spans="1:7" ht="9" hidden="1" customHeight="1">
      <c r="A96" s="219"/>
      <c r="B96" s="214">
        <v>43831</v>
      </c>
      <c r="C96" s="221"/>
      <c r="D96" s="216">
        <v>14</v>
      </c>
      <c r="E96" s="217">
        <v>6246.64</v>
      </c>
      <c r="F96" s="217">
        <v>28526693</v>
      </c>
      <c r="G96" s="218">
        <v>28945819</v>
      </c>
    </row>
    <row r="97" spans="1:7" ht="9" hidden="1" customHeight="1">
      <c r="A97" s="219"/>
      <c r="B97" s="214">
        <v>43922</v>
      </c>
      <c r="C97" s="215">
        <v>43922</v>
      </c>
      <c r="D97" s="216">
        <v>3</v>
      </c>
      <c r="E97" s="217">
        <v>1810.04</v>
      </c>
      <c r="F97" s="217">
        <v>13658837</v>
      </c>
      <c r="G97" s="218">
        <v>20189168</v>
      </c>
    </row>
    <row r="98" spans="1:7" ht="9" hidden="1" customHeight="1">
      <c r="A98" s="219"/>
      <c r="B98" s="220"/>
      <c r="C98" s="215">
        <v>43952</v>
      </c>
      <c r="D98" s="216">
        <v>1</v>
      </c>
      <c r="E98" s="217">
        <v>446.73</v>
      </c>
      <c r="F98" s="217">
        <v>3456082</v>
      </c>
      <c r="G98" s="218">
        <v>3456082</v>
      </c>
    </row>
    <row r="99" spans="1:7" ht="9" hidden="1" customHeight="1">
      <c r="A99" s="219"/>
      <c r="B99" s="220"/>
      <c r="C99" s="215">
        <v>43983</v>
      </c>
      <c r="D99" s="216">
        <v>2</v>
      </c>
      <c r="E99" s="217">
        <v>744.55</v>
      </c>
      <c r="F99" s="217">
        <v>5001259</v>
      </c>
      <c r="G99" s="218">
        <v>5001259</v>
      </c>
    </row>
    <row r="100" spans="1:7" ht="9" hidden="1" customHeight="1">
      <c r="A100" s="219"/>
      <c r="B100" s="214">
        <v>43922</v>
      </c>
      <c r="C100" s="221"/>
      <c r="D100" s="216">
        <v>6</v>
      </c>
      <c r="E100" s="217">
        <v>3001.32</v>
      </c>
      <c r="F100" s="217">
        <v>22116178</v>
      </c>
      <c r="G100" s="218">
        <v>28646509</v>
      </c>
    </row>
    <row r="101" spans="1:7" ht="9" hidden="1" customHeight="1">
      <c r="A101" s="219"/>
      <c r="B101" s="214">
        <v>44013</v>
      </c>
      <c r="C101" s="215">
        <v>44013</v>
      </c>
      <c r="D101" s="216">
        <v>3</v>
      </c>
      <c r="E101" s="217">
        <v>1191.28</v>
      </c>
      <c r="F101" s="217">
        <v>8456738</v>
      </c>
      <c r="G101" s="218">
        <v>8449386</v>
      </c>
    </row>
    <row r="102" spans="1:7" ht="9" hidden="1" customHeight="1">
      <c r="A102" s="219"/>
      <c r="B102" s="220"/>
      <c r="C102" s="215">
        <v>44044</v>
      </c>
      <c r="D102" s="216">
        <v>3</v>
      </c>
      <c r="E102" s="217">
        <v>1694.55</v>
      </c>
      <c r="F102" s="217">
        <v>10358282</v>
      </c>
      <c r="G102" s="218">
        <v>10358281</v>
      </c>
    </row>
    <row r="103" spans="1:7" ht="9" hidden="1" customHeight="1">
      <c r="A103" s="219"/>
      <c r="B103" s="220"/>
      <c r="C103" s="215">
        <v>44075</v>
      </c>
      <c r="D103" s="216">
        <v>3</v>
      </c>
      <c r="E103" s="217">
        <v>1351.94</v>
      </c>
      <c r="F103" s="217">
        <v>6260811</v>
      </c>
      <c r="G103" s="218">
        <v>6556658</v>
      </c>
    </row>
    <row r="104" spans="1:7" ht="9" hidden="1" customHeight="1">
      <c r="A104" s="219"/>
      <c r="B104" s="214">
        <v>44013</v>
      </c>
      <c r="C104" s="221"/>
      <c r="D104" s="216">
        <v>9</v>
      </c>
      <c r="E104" s="217">
        <v>4237.7700000000004</v>
      </c>
      <c r="F104" s="217">
        <v>25075831</v>
      </c>
      <c r="G104" s="218">
        <v>25364325</v>
      </c>
    </row>
    <row r="105" spans="1:7" ht="9" hidden="1" customHeight="1">
      <c r="A105" s="219"/>
      <c r="B105" s="214">
        <v>44105</v>
      </c>
      <c r="C105" s="215">
        <v>44105</v>
      </c>
      <c r="D105" s="216">
        <v>4</v>
      </c>
      <c r="E105" s="217">
        <v>1652.66</v>
      </c>
      <c r="F105" s="217">
        <v>10364927</v>
      </c>
      <c r="G105" s="218">
        <v>10364929</v>
      </c>
    </row>
    <row r="106" spans="1:7" ht="9" hidden="1" customHeight="1">
      <c r="A106" s="219"/>
      <c r="B106" s="220"/>
      <c r="C106" s="215">
        <v>44136</v>
      </c>
      <c r="D106" s="216">
        <v>1</v>
      </c>
      <c r="E106" s="217">
        <v>446.73</v>
      </c>
      <c r="F106" s="217">
        <v>3525996</v>
      </c>
      <c r="G106" s="218">
        <v>3525996</v>
      </c>
    </row>
    <row r="107" spans="1:7" ht="9" hidden="1" customHeight="1">
      <c r="A107" s="219"/>
      <c r="B107" s="220"/>
      <c r="C107" s="215">
        <v>44166</v>
      </c>
      <c r="D107" s="216">
        <v>6</v>
      </c>
      <c r="E107" s="217">
        <v>2532.25</v>
      </c>
      <c r="F107" s="217">
        <v>14350283</v>
      </c>
      <c r="G107" s="218">
        <v>14350170</v>
      </c>
    </row>
    <row r="108" spans="1:7" ht="9" hidden="1" customHeight="1">
      <c r="A108" s="219"/>
      <c r="B108" s="214">
        <v>44105</v>
      </c>
      <c r="C108" s="221"/>
      <c r="D108" s="216">
        <v>11</v>
      </c>
      <c r="E108" s="217">
        <v>4631.6400000000003</v>
      </c>
      <c r="F108" s="217">
        <v>28241206</v>
      </c>
      <c r="G108" s="218">
        <v>28241095</v>
      </c>
    </row>
    <row r="109" spans="1:7" ht="13.5" customHeight="1">
      <c r="A109" s="213">
        <v>43101</v>
      </c>
      <c r="B109" s="220"/>
      <c r="C109" s="221"/>
      <c r="D109" s="216">
        <v>40</v>
      </c>
      <c r="E109" s="217">
        <v>18117.37</v>
      </c>
      <c r="F109" s="217">
        <v>103959908</v>
      </c>
      <c r="G109" s="218">
        <v>111197748</v>
      </c>
    </row>
    <row r="110" spans="1:7" ht="9" hidden="1" customHeight="1">
      <c r="A110" s="213">
        <v>43466</v>
      </c>
      <c r="B110" s="214">
        <v>43831</v>
      </c>
      <c r="C110" s="215">
        <v>43891</v>
      </c>
      <c r="D110" s="216">
        <v>3</v>
      </c>
      <c r="E110" s="217">
        <v>1663.67</v>
      </c>
      <c r="F110" s="217">
        <v>7284333</v>
      </c>
      <c r="G110" s="218">
        <v>7284331</v>
      </c>
    </row>
    <row r="111" spans="1:7" ht="9" hidden="1" customHeight="1">
      <c r="A111" s="219"/>
      <c r="B111" s="214">
        <v>43831</v>
      </c>
      <c r="C111" s="221"/>
      <c r="D111" s="216">
        <v>3</v>
      </c>
      <c r="E111" s="217">
        <v>1663.67</v>
      </c>
      <c r="F111" s="217">
        <v>7284333</v>
      </c>
      <c r="G111" s="218">
        <v>7284331</v>
      </c>
    </row>
    <row r="112" spans="1:7" ht="9" hidden="1" customHeight="1">
      <c r="A112" s="219"/>
      <c r="B112" s="214">
        <v>43922</v>
      </c>
      <c r="C112" s="215">
        <v>43922</v>
      </c>
      <c r="D112" s="216">
        <v>2</v>
      </c>
      <c r="E112" s="217">
        <v>908.11</v>
      </c>
      <c r="F112" s="217">
        <v>4300071</v>
      </c>
      <c r="G112" s="218">
        <v>5391274</v>
      </c>
    </row>
    <row r="113" spans="1:7" ht="9" hidden="1" customHeight="1">
      <c r="A113" s="219"/>
      <c r="B113" s="220"/>
      <c r="C113" s="215">
        <v>43952</v>
      </c>
      <c r="D113" s="216">
        <v>6</v>
      </c>
      <c r="E113" s="217">
        <v>4010.4</v>
      </c>
      <c r="F113" s="217">
        <v>22502760</v>
      </c>
      <c r="G113" s="218">
        <v>22488401</v>
      </c>
    </row>
    <row r="114" spans="1:7" ht="9" hidden="1" customHeight="1">
      <c r="A114" s="219"/>
      <c r="B114" s="220"/>
      <c r="C114" s="215">
        <v>43983</v>
      </c>
      <c r="D114" s="216">
        <v>3</v>
      </c>
      <c r="E114" s="217">
        <v>1354.84</v>
      </c>
      <c r="F114" s="217">
        <v>8600729</v>
      </c>
      <c r="G114" s="218">
        <v>9087212</v>
      </c>
    </row>
    <row r="115" spans="1:7" ht="9" hidden="1" customHeight="1">
      <c r="A115" s="219"/>
      <c r="B115" s="214">
        <v>43922</v>
      </c>
      <c r="C115" s="221"/>
      <c r="D115" s="216">
        <v>11</v>
      </c>
      <c r="E115" s="217">
        <v>6273.35</v>
      </c>
      <c r="F115" s="217">
        <v>35403560</v>
      </c>
      <c r="G115" s="218">
        <v>36966887</v>
      </c>
    </row>
    <row r="116" spans="1:7" ht="9" hidden="1" customHeight="1">
      <c r="A116" s="219"/>
      <c r="B116" s="214">
        <v>44013</v>
      </c>
      <c r="C116" s="215">
        <v>44013</v>
      </c>
      <c r="D116" s="216">
        <v>3</v>
      </c>
      <c r="E116" s="217">
        <v>2344.1</v>
      </c>
      <c r="F116" s="217">
        <v>15820436</v>
      </c>
      <c r="G116" s="218">
        <v>15820436</v>
      </c>
    </row>
    <row r="117" spans="1:7" ht="9" hidden="1" customHeight="1">
      <c r="A117" s="219"/>
      <c r="B117" s="220"/>
      <c r="C117" s="215">
        <v>44044</v>
      </c>
      <c r="D117" s="216">
        <v>2</v>
      </c>
      <c r="E117" s="217">
        <v>1869.12</v>
      </c>
      <c r="F117" s="217">
        <v>8496987</v>
      </c>
      <c r="G117" s="218">
        <v>8484192</v>
      </c>
    </row>
    <row r="118" spans="1:7" ht="9" hidden="1" customHeight="1">
      <c r="A118" s="219"/>
      <c r="B118" s="220"/>
      <c r="C118" s="215">
        <v>44075</v>
      </c>
      <c r="D118" s="216">
        <v>3</v>
      </c>
      <c r="E118" s="217">
        <v>1191.28</v>
      </c>
      <c r="F118" s="217">
        <v>7540309</v>
      </c>
      <c r="G118" s="218">
        <v>8534938</v>
      </c>
    </row>
    <row r="119" spans="1:7" ht="9" hidden="1" customHeight="1">
      <c r="A119" s="219"/>
      <c r="B119" s="214">
        <v>44013</v>
      </c>
      <c r="C119" s="221"/>
      <c r="D119" s="216">
        <v>8</v>
      </c>
      <c r="E119" s="217">
        <v>5404.5</v>
      </c>
      <c r="F119" s="217">
        <v>31857732</v>
      </c>
      <c r="G119" s="218">
        <v>32839566</v>
      </c>
    </row>
    <row r="120" spans="1:7" ht="9" hidden="1" customHeight="1">
      <c r="A120" s="219"/>
      <c r="B120" s="214">
        <v>44105</v>
      </c>
      <c r="C120" s="215">
        <v>44105</v>
      </c>
      <c r="D120" s="216">
        <v>3</v>
      </c>
      <c r="E120" s="217">
        <v>1340.19</v>
      </c>
      <c r="F120" s="217">
        <v>8284272</v>
      </c>
      <c r="G120" s="218">
        <v>8284272</v>
      </c>
    </row>
    <row r="121" spans="1:7" ht="9" hidden="1" customHeight="1">
      <c r="A121" s="219"/>
      <c r="B121" s="220"/>
      <c r="C121" s="215">
        <v>44136</v>
      </c>
      <c r="D121" s="216">
        <v>7</v>
      </c>
      <c r="E121" s="217">
        <v>4718.8500000000004</v>
      </c>
      <c r="F121" s="217">
        <v>14440942</v>
      </c>
      <c r="G121" s="218">
        <v>17037798</v>
      </c>
    </row>
    <row r="122" spans="1:7" ht="9" hidden="1" customHeight="1">
      <c r="A122" s="219"/>
      <c r="B122" s="220"/>
      <c r="C122" s="215">
        <v>44166</v>
      </c>
      <c r="D122" s="216">
        <v>7</v>
      </c>
      <c r="E122" s="217">
        <v>4898.6400000000003</v>
      </c>
      <c r="F122" s="217">
        <v>22817536</v>
      </c>
      <c r="G122" s="218">
        <v>24757087</v>
      </c>
    </row>
    <row r="123" spans="1:7" ht="9" hidden="1" customHeight="1">
      <c r="A123" s="219"/>
      <c r="B123" s="214">
        <v>44105</v>
      </c>
      <c r="C123" s="221"/>
      <c r="D123" s="216">
        <v>17</v>
      </c>
      <c r="E123" s="217">
        <v>10957.68</v>
      </c>
      <c r="F123" s="217">
        <v>45542750</v>
      </c>
      <c r="G123" s="218">
        <v>50079157</v>
      </c>
    </row>
    <row r="124" spans="1:7" ht="13.25" customHeight="1">
      <c r="A124" s="213">
        <v>43466</v>
      </c>
      <c r="B124" s="220"/>
      <c r="C124" s="221"/>
      <c r="D124" s="216">
        <v>39</v>
      </c>
      <c r="E124" s="217">
        <v>24299.200000000001</v>
      </c>
      <c r="F124" s="217">
        <v>120088375</v>
      </c>
      <c r="G124" s="218">
        <v>127169941</v>
      </c>
    </row>
    <row r="125" spans="1:7" ht="8.5" hidden="1" customHeight="1">
      <c r="A125" s="213">
        <v>43831</v>
      </c>
      <c r="B125" s="214">
        <v>43831</v>
      </c>
      <c r="C125" s="215">
        <v>43831</v>
      </c>
      <c r="D125" s="216">
        <v>13</v>
      </c>
      <c r="E125" s="217">
        <v>7604.68</v>
      </c>
      <c r="F125" s="217">
        <v>40754214</v>
      </c>
      <c r="G125" s="218">
        <v>43183650</v>
      </c>
    </row>
    <row r="126" spans="1:7" ht="8.5" hidden="1" customHeight="1">
      <c r="A126" s="219"/>
      <c r="B126" s="220"/>
      <c r="C126" s="215">
        <v>43862</v>
      </c>
      <c r="D126" s="216">
        <v>4</v>
      </c>
      <c r="E126" s="217">
        <v>2141.2800000000002</v>
      </c>
      <c r="F126" s="217">
        <v>13665958</v>
      </c>
      <c r="G126" s="218">
        <v>13665957</v>
      </c>
    </row>
    <row r="127" spans="1:7" ht="8.5" hidden="1" customHeight="1">
      <c r="A127" s="219"/>
      <c r="B127" s="220"/>
      <c r="C127" s="215">
        <v>43891</v>
      </c>
      <c r="D127" s="216">
        <v>4</v>
      </c>
      <c r="E127" s="217">
        <v>3234.97</v>
      </c>
      <c r="F127" s="217">
        <v>13834004</v>
      </c>
      <c r="G127" s="218">
        <v>13834005</v>
      </c>
    </row>
    <row r="128" spans="1:7" ht="15" customHeight="1">
      <c r="A128" s="222"/>
      <c r="B128" s="214">
        <v>43831</v>
      </c>
      <c r="C128" s="221"/>
      <c r="D128" s="216">
        <v>21</v>
      </c>
      <c r="E128" s="217">
        <v>12980.93</v>
      </c>
      <c r="F128" s="217">
        <v>68254176</v>
      </c>
      <c r="G128" s="218">
        <v>70683612</v>
      </c>
    </row>
    <row r="129" spans="1:7" ht="8.5" hidden="1" customHeight="1">
      <c r="A129" s="223"/>
      <c r="B129" s="214">
        <v>43922</v>
      </c>
      <c r="C129" s="215">
        <v>43952</v>
      </c>
      <c r="D129" s="216">
        <v>1</v>
      </c>
      <c r="E129" s="217">
        <v>919.12</v>
      </c>
      <c r="F129" s="217">
        <v>5045956</v>
      </c>
      <c r="G129" s="218">
        <v>5045956</v>
      </c>
    </row>
    <row r="130" spans="1:7" ht="8.5" hidden="1" customHeight="1">
      <c r="A130" s="223"/>
      <c r="B130" s="220"/>
      <c r="C130" s="215">
        <v>43983</v>
      </c>
      <c r="D130" s="216">
        <v>6</v>
      </c>
      <c r="E130" s="217">
        <v>4184.3100000000004</v>
      </c>
      <c r="F130" s="217">
        <v>26079775</v>
      </c>
      <c r="G130" s="218">
        <v>26079777</v>
      </c>
    </row>
    <row r="131" spans="1:7" ht="15" customHeight="1">
      <c r="A131" s="223"/>
      <c r="B131" s="214">
        <v>43922</v>
      </c>
      <c r="C131" s="221"/>
      <c r="D131" s="216">
        <v>7</v>
      </c>
      <c r="E131" s="217">
        <v>5103.43</v>
      </c>
      <c r="F131" s="217">
        <v>31125731</v>
      </c>
      <c r="G131" s="218">
        <v>31125733</v>
      </c>
    </row>
    <row r="132" spans="1:7" ht="8.5" hidden="1" customHeight="1">
      <c r="A132" s="223"/>
      <c r="B132" s="214">
        <v>44013</v>
      </c>
      <c r="C132" s="215">
        <v>44013</v>
      </c>
      <c r="D132" s="216">
        <v>9</v>
      </c>
      <c r="E132" s="217">
        <v>5435.26</v>
      </c>
      <c r="F132" s="217">
        <v>24189933</v>
      </c>
      <c r="G132" s="218">
        <v>24189933</v>
      </c>
    </row>
    <row r="133" spans="1:7" ht="8.5" hidden="1" customHeight="1">
      <c r="A133" s="223"/>
      <c r="B133" s="220"/>
      <c r="C133" s="215">
        <v>44044</v>
      </c>
      <c r="D133" s="216">
        <v>2</v>
      </c>
      <c r="E133" s="217">
        <v>905.21</v>
      </c>
      <c r="F133" s="217">
        <v>5280000</v>
      </c>
      <c r="G133" s="218">
        <v>5280000</v>
      </c>
    </row>
    <row r="134" spans="1:7" ht="8.5" hidden="1" customHeight="1">
      <c r="A134" s="223"/>
      <c r="B134" s="220"/>
      <c r="C134" s="215">
        <v>44075</v>
      </c>
      <c r="D134" s="216">
        <v>1</v>
      </c>
      <c r="E134" s="217">
        <v>919.12</v>
      </c>
      <c r="F134" s="217">
        <v>4045800</v>
      </c>
      <c r="G134" s="218">
        <v>7596800</v>
      </c>
    </row>
    <row r="135" spans="1:7" ht="15" customHeight="1">
      <c r="A135" s="223"/>
      <c r="B135" s="214">
        <v>44013</v>
      </c>
      <c r="C135" s="221"/>
      <c r="D135" s="216">
        <v>12</v>
      </c>
      <c r="E135" s="217">
        <v>7259.59</v>
      </c>
      <c r="F135" s="217">
        <v>33515733</v>
      </c>
      <c r="G135" s="218">
        <v>37066733</v>
      </c>
    </row>
    <row r="136" spans="1:7" ht="8.5" hidden="1" customHeight="1">
      <c r="A136" s="223"/>
      <c r="B136" s="214">
        <v>44105</v>
      </c>
      <c r="C136" s="215">
        <v>44105</v>
      </c>
      <c r="D136" s="216">
        <v>6</v>
      </c>
      <c r="E136" s="217">
        <v>3952.68</v>
      </c>
      <c r="F136" s="217">
        <v>15252600</v>
      </c>
      <c r="G136" s="218">
        <v>15252625</v>
      </c>
    </row>
    <row r="137" spans="1:7" ht="8.5" hidden="1" customHeight="1">
      <c r="A137" s="223"/>
      <c r="B137" s="220"/>
      <c r="C137" s="215">
        <v>44136</v>
      </c>
      <c r="D137" s="216">
        <v>4</v>
      </c>
      <c r="E137" s="217">
        <v>1807.19</v>
      </c>
      <c r="F137" s="217">
        <v>9226546</v>
      </c>
      <c r="G137" s="218">
        <v>9148780</v>
      </c>
    </row>
    <row r="138" spans="1:7" ht="8.5" hidden="1" customHeight="1">
      <c r="A138" s="223"/>
      <c r="B138" s="220"/>
      <c r="C138" s="215">
        <v>44166</v>
      </c>
      <c r="D138" s="216">
        <v>1</v>
      </c>
      <c r="E138" s="217">
        <v>297.82</v>
      </c>
      <c r="F138" s="217">
        <v>1154237</v>
      </c>
      <c r="G138" s="218">
        <v>1154237</v>
      </c>
    </row>
    <row r="139" spans="1:7" ht="15.25" customHeight="1">
      <c r="A139" s="223"/>
      <c r="B139" s="214">
        <v>44105</v>
      </c>
      <c r="C139" s="221"/>
      <c r="D139" s="216">
        <v>11</v>
      </c>
      <c r="E139" s="217">
        <v>6057.69</v>
      </c>
      <c r="F139" s="217">
        <v>25633383</v>
      </c>
      <c r="G139" s="218">
        <v>25555642</v>
      </c>
    </row>
    <row r="140" spans="1:7" ht="13.25" customHeight="1">
      <c r="A140" s="224">
        <v>43831</v>
      </c>
      <c r="B140" s="220"/>
      <c r="C140" s="221"/>
      <c r="D140" s="216">
        <v>51</v>
      </c>
      <c r="E140" s="217">
        <v>31401.64</v>
      </c>
      <c r="F140" s="217">
        <v>158529023</v>
      </c>
      <c r="G140" s="218">
        <v>164431720</v>
      </c>
    </row>
    <row r="141" spans="1:7" ht="8.5" hidden="1" customHeight="1">
      <c r="A141" s="213">
        <v>44197</v>
      </c>
      <c r="B141" s="214">
        <v>43831</v>
      </c>
      <c r="C141" s="215">
        <v>43831</v>
      </c>
      <c r="D141" s="216">
        <v>4</v>
      </c>
      <c r="E141" s="217">
        <v>3147.82</v>
      </c>
      <c r="F141" s="217">
        <v>12459500</v>
      </c>
      <c r="G141" s="218">
        <v>12459500</v>
      </c>
    </row>
    <row r="142" spans="1:7" ht="8.5" hidden="1" customHeight="1">
      <c r="A142" s="219"/>
      <c r="B142" s="220"/>
      <c r="C142" s="215">
        <v>43862</v>
      </c>
      <c r="D142" s="216">
        <v>4</v>
      </c>
      <c r="E142" s="217">
        <v>3116.94</v>
      </c>
      <c r="F142" s="217">
        <v>11187500</v>
      </c>
      <c r="G142" s="218">
        <v>11187500</v>
      </c>
    </row>
    <row r="143" spans="1:7" ht="8.5" hidden="1" customHeight="1">
      <c r="A143" s="219"/>
      <c r="B143" s="220"/>
      <c r="C143" s="215">
        <v>43891</v>
      </c>
      <c r="D143" s="216">
        <v>6</v>
      </c>
      <c r="E143" s="217">
        <v>4912.58</v>
      </c>
      <c r="F143" s="217">
        <v>31885388</v>
      </c>
      <c r="G143" s="218">
        <v>31885388</v>
      </c>
    </row>
    <row r="144" spans="1:7" ht="15" customHeight="1">
      <c r="A144" s="222"/>
      <c r="B144" s="214">
        <v>43831</v>
      </c>
      <c r="C144" s="221"/>
      <c r="D144" s="216">
        <v>14</v>
      </c>
      <c r="E144" s="217">
        <v>11177.34</v>
      </c>
      <c r="F144" s="217">
        <v>55532388</v>
      </c>
      <c r="G144" s="218">
        <v>55532388</v>
      </c>
    </row>
    <row r="145" spans="1:7" ht="8.5" hidden="1" customHeight="1">
      <c r="A145" s="223"/>
      <c r="B145" s="214">
        <v>43922</v>
      </c>
      <c r="C145" s="215">
        <v>43922</v>
      </c>
      <c r="D145" s="216">
        <v>3</v>
      </c>
      <c r="E145" s="217">
        <v>2451.61</v>
      </c>
      <c r="F145" s="217">
        <v>9488659</v>
      </c>
      <c r="G145" s="218">
        <v>9488659</v>
      </c>
    </row>
    <row r="146" spans="1:7" ht="8.5" hidden="1" customHeight="1">
      <c r="A146" s="223"/>
      <c r="B146" s="220"/>
      <c r="C146" s="215">
        <v>43952</v>
      </c>
      <c r="D146" s="216">
        <v>1</v>
      </c>
      <c r="E146" s="217">
        <v>919.12</v>
      </c>
      <c r="F146" s="217">
        <v>3000000</v>
      </c>
      <c r="G146" s="218">
        <v>3000000</v>
      </c>
    </row>
    <row r="147" spans="1:7" ht="8.5" hidden="1" customHeight="1">
      <c r="A147" s="223"/>
      <c r="B147" s="220"/>
      <c r="C147" s="215">
        <v>43983</v>
      </c>
      <c r="D147" s="216">
        <v>2</v>
      </c>
      <c r="E147" s="217">
        <v>893.46</v>
      </c>
      <c r="F147" s="217">
        <v>3224674</v>
      </c>
      <c r="G147" s="218">
        <v>3224674</v>
      </c>
    </row>
    <row r="148" spans="1:7" ht="15" customHeight="1">
      <c r="A148" s="223"/>
      <c r="B148" s="214">
        <v>43922</v>
      </c>
      <c r="C148" s="221"/>
      <c r="D148" s="216">
        <v>6</v>
      </c>
      <c r="E148" s="217">
        <v>4264.1899999999996</v>
      </c>
      <c r="F148" s="217">
        <v>15713333</v>
      </c>
      <c r="G148" s="218">
        <v>15713333</v>
      </c>
    </row>
    <row r="149" spans="1:7" ht="8.5" hidden="1" customHeight="1">
      <c r="A149" s="223"/>
      <c r="B149" s="214">
        <v>44013</v>
      </c>
      <c r="C149" s="215">
        <v>44013</v>
      </c>
      <c r="D149" s="216">
        <v>3</v>
      </c>
      <c r="E149" s="217">
        <v>1191.28</v>
      </c>
      <c r="F149" s="217">
        <v>3558173</v>
      </c>
      <c r="G149" s="218">
        <v>3541510</v>
      </c>
    </row>
    <row r="150" spans="1:7" ht="8.5" hidden="1" customHeight="1">
      <c r="A150" s="223"/>
      <c r="B150" s="220"/>
      <c r="C150" s="215">
        <v>44044</v>
      </c>
      <c r="D150" s="216">
        <v>1</v>
      </c>
      <c r="E150" s="217">
        <v>458.48</v>
      </c>
      <c r="F150" s="217">
        <v>2822974</v>
      </c>
      <c r="G150" s="218">
        <v>2822974</v>
      </c>
    </row>
    <row r="151" spans="1:7" ht="8.5" hidden="1" customHeight="1">
      <c r="A151" s="223"/>
      <c r="B151" s="220"/>
      <c r="C151" s="215">
        <v>44075</v>
      </c>
      <c r="D151" s="216">
        <v>5</v>
      </c>
      <c r="E151" s="217">
        <v>2557.13</v>
      </c>
      <c r="F151" s="217">
        <v>11394443</v>
      </c>
      <c r="G151" s="218">
        <v>11394343</v>
      </c>
    </row>
    <row r="152" spans="1:7" ht="15" customHeight="1">
      <c r="A152" s="223"/>
      <c r="B152" s="214">
        <v>44013</v>
      </c>
      <c r="C152" s="221"/>
      <c r="D152" s="216">
        <v>9</v>
      </c>
      <c r="E152" s="217">
        <v>4206.8900000000003</v>
      </c>
      <c r="F152" s="217">
        <v>17775590</v>
      </c>
      <c r="G152" s="218">
        <v>17758827</v>
      </c>
    </row>
    <row r="153" spans="1:7" ht="8.5" hidden="1" customHeight="1">
      <c r="A153" s="223"/>
      <c r="B153" s="214">
        <v>44105</v>
      </c>
      <c r="C153" s="215">
        <v>44105</v>
      </c>
      <c r="D153" s="216">
        <v>2</v>
      </c>
      <c r="E153" s="217">
        <v>1365.85</v>
      </c>
      <c r="F153" s="217">
        <v>0</v>
      </c>
      <c r="G153" s="218">
        <v>8017860</v>
      </c>
    </row>
    <row r="154" spans="1:7" ht="8.5" hidden="1" customHeight="1">
      <c r="A154" s="223"/>
      <c r="B154" s="220"/>
      <c r="C154" s="215">
        <v>44136</v>
      </c>
      <c r="D154" s="216">
        <v>1</v>
      </c>
      <c r="E154" s="217">
        <v>950</v>
      </c>
      <c r="F154" s="217">
        <v>3577910</v>
      </c>
      <c r="G154" s="218">
        <v>3577910</v>
      </c>
    </row>
    <row r="155" spans="1:7" ht="15.25" customHeight="1">
      <c r="A155" s="223"/>
      <c r="B155" s="214">
        <v>44105</v>
      </c>
      <c r="C155" s="221"/>
      <c r="D155" s="216">
        <v>3</v>
      </c>
      <c r="E155" s="217">
        <v>2315.85</v>
      </c>
      <c r="F155" s="217">
        <v>3577910</v>
      </c>
      <c r="G155" s="218">
        <v>11595770</v>
      </c>
    </row>
    <row r="156" spans="1:7" ht="13.5" customHeight="1">
      <c r="A156" s="225">
        <v>44197</v>
      </c>
      <c r="B156" s="226"/>
      <c r="C156" s="227"/>
      <c r="D156" s="228">
        <v>32</v>
      </c>
      <c r="E156" s="229">
        <v>21964.27</v>
      </c>
      <c r="F156" s="229">
        <v>92599221</v>
      </c>
      <c r="G156" s="230">
        <v>100600318</v>
      </c>
    </row>
    <row r="157" spans="1:7" ht="15.25" customHeight="1">
      <c r="A157" s="201" t="s">
        <v>305</v>
      </c>
      <c r="B157" s="202"/>
      <c r="C157" s="203"/>
      <c r="D157" s="204">
        <v>894</v>
      </c>
      <c r="E157" s="205">
        <v>471305.55</v>
      </c>
      <c r="F157" s="205">
        <v>2217896237</v>
      </c>
      <c r="G157" s="206">
        <v>2272399355</v>
      </c>
    </row>
  </sheetData>
  <mergeCells count="1">
    <mergeCell ref="A1:G1"/>
  </mergeCells>
  <pageMargins left="0.7" right="0.7" top="0.75" bottom="0.75" header="0.3" footer="0.3"/>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3"/>
  <sheetViews>
    <sheetView showGridLines="0" topLeftCell="A3" workbookViewId="0"/>
  </sheetViews>
  <sheetFormatPr baseColWidth="10" defaultColWidth="8.83203125" defaultRowHeight="14.5" customHeight="1"/>
  <cols>
    <col min="1" max="1" width="13.1640625" style="4" customWidth="1"/>
    <col min="2" max="2" width="16.5" style="4" customWidth="1"/>
    <col min="3" max="3" width="11.6640625" style="4" customWidth="1"/>
    <col min="4" max="5" width="15.83203125" style="4" customWidth="1"/>
    <col min="6" max="9" width="8.83203125" style="4" customWidth="1"/>
    <col min="10" max="16384" width="8.83203125" style="4"/>
  </cols>
  <sheetData>
    <row r="1" spans="1:8" ht="9" hidden="1" customHeight="1">
      <c r="A1" s="19"/>
      <c r="B1" s="19"/>
      <c r="C1" s="19"/>
      <c r="D1" s="19"/>
      <c r="E1" s="19"/>
      <c r="F1" s="19"/>
      <c r="G1" s="19"/>
      <c r="H1" s="19"/>
    </row>
    <row r="2" spans="1:8" ht="9" hidden="1" customHeight="1">
      <c r="A2" s="19"/>
      <c r="B2" s="19"/>
      <c r="C2" s="19"/>
      <c r="D2" s="19"/>
      <c r="E2" s="19"/>
      <c r="F2" s="19"/>
      <c r="G2" s="19"/>
      <c r="H2" s="185"/>
    </row>
    <row r="3" spans="1:8" ht="13.5" customHeight="1">
      <c r="A3" s="19"/>
      <c r="B3" s="19"/>
      <c r="C3" s="19"/>
      <c r="D3" s="19"/>
      <c r="E3" s="19"/>
      <c r="F3" s="19"/>
      <c r="G3" s="19"/>
      <c r="H3" s="185"/>
    </row>
    <row r="4" spans="1:8" ht="13.5" customHeight="1">
      <c r="A4" s="19"/>
      <c r="B4" s="19"/>
      <c r="C4" s="19"/>
      <c r="D4" s="19"/>
      <c r="E4" s="19"/>
      <c r="F4" s="19"/>
      <c r="G4" s="185" t="e">
        <f>GETPIVOTDATA("Unit Cost",'Sheet3 - Table 1'!$A$2,"Years",2012)/10000000</f>
        <v>#REF!</v>
      </c>
      <c r="H4" s="185" t="e">
        <f>GETPIVOTDATA("Received",'Sheet3 - Table 1'!$A$2,"Years",2012)/10000000</f>
        <v>#REF!</v>
      </c>
    </row>
    <row r="5" spans="1:8" ht="13.5" customHeight="1">
      <c r="A5" s="19"/>
      <c r="B5" s="19"/>
      <c r="C5" s="19"/>
      <c r="D5" s="19"/>
      <c r="E5" s="19"/>
      <c r="F5" s="19"/>
      <c r="G5" s="185" t="e">
        <f>GETPIVOTDATA("Unit Cost",'Sheet3 - Table 1'!$A$2,"Years",2013)/10000000</f>
        <v>#REF!</v>
      </c>
      <c r="H5" s="185" t="e">
        <f>GETPIVOTDATA("Received",'Sheet3 - Table 1'!$A$2,"Years",2013)/10000000</f>
        <v>#REF!</v>
      </c>
    </row>
    <row r="6" spans="1:8" ht="13.5" customHeight="1">
      <c r="A6" s="19"/>
      <c r="B6" s="19"/>
      <c r="C6" s="19"/>
      <c r="D6" s="19"/>
      <c r="E6" s="19"/>
      <c r="F6" s="19"/>
      <c r="G6" s="185" t="e">
        <f>GETPIVOTDATA("Unit Cost",'Sheet3 - Table 1'!$A$2,"Years",2014)/10000000</f>
        <v>#REF!</v>
      </c>
      <c r="H6" s="185" t="e">
        <f>GETPIVOTDATA("Received",'Sheet3 - Table 1'!$A$2,"Years",2014)/10000000</f>
        <v>#REF!</v>
      </c>
    </row>
    <row r="7" spans="1:8" ht="13.5" customHeight="1">
      <c r="A7" s="19"/>
      <c r="B7" s="19"/>
      <c r="C7" s="19"/>
      <c r="D7" s="19"/>
      <c r="E7" s="19"/>
      <c r="F7" s="19"/>
      <c r="G7" s="185" t="e">
        <f>GETPIVOTDATA("Unit Cost",'Sheet3 - Table 1'!$A$2,"Years",2015)/10000000</f>
        <v>#REF!</v>
      </c>
      <c r="H7" s="185" t="e">
        <f>GETPIVOTDATA("Received",'Sheet3 - Table 1'!$A$2,"Years",2015)/10000000</f>
        <v>#REF!</v>
      </c>
    </row>
    <row r="8" spans="1:8" ht="13.5" customHeight="1">
      <c r="A8" s="19"/>
      <c r="B8" s="19"/>
      <c r="C8" s="19"/>
      <c r="D8" s="19"/>
      <c r="E8" s="19"/>
      <c r="F8" s="19"/>
      <c r="G8" s="185" t="e">
        <f>GETPIVOTDATA("Unit Cost",'Sheet3 - Table 1'!$A$2,"Years",2016)/10000000</f>
        <v>#REF!</v>
      </c>
      <c r="H8" s="185" t="e">
        <f>GETPIVOTDATA("Received",'Sheet3 - Table 1'!$A$2,"Years",2016)/10000000</f>
        <v>#REF!</v>
      </c>
    </row>
    <row r="9" spans="1:8" ht="13.5" customHeight="1">
      <c r="A9" s="19"/>
      <c r="B9" s="19"/>
      <c r="C9" s="19"/>
      <c r="D9" s="19"/>
      <c r="E9" s="19"/>
      <c r="F9" s="19"/>
      <c r="G9" s="185" t="e">
        <f>GETPIVOTDATA("Unit Cost",'Sheet3 - Table 1'!$A$2,"Years",2017)/10000000</f>
        <v>#REF!</v>
      </c>
      <c r="H9" s="185" t="e">
        <f>GETPIVOTDATA("Received",'Sheet3 - Table 1'!$A$2,"Years",2017)/10000000</f>
        <v>#REF!</v>
      </c>
    </row>
    <row r="10" spans="1:8" ht="13.5" customHeight="1">
      <c r="A10" s="19"/>
      <c r="B10" s="19"/>
      <c r="C10" s="19"/>
      <c r="D10" s="19"/>
      <c r="E10" s="19"/>
      <c r="F10" s="19"/>
      <c r="G10" s="185" t="e">
        <f>GETPIVOTDATA("Unit Cost",'Sheet3 - Table 1'!$A$2,"Years",2018)/10000000</f>
        <v>#REF!</v>
      </c>
      <c r="H10" s="185" t="e">
        <f>GETPIVOTDATA("Received",'Sheet3 - Table 1'!$A$2,"Years",2018)/10000000</f>
        <v>#REF!</v>
      </c>
    </row>
    <row r="11" spans="1:8" ht="13.5" customHeight="1">
      <c r="A11" s="19"/>
      <c r="B11" s="19"/>
      <c r="C11" s="19"/>
      <c r="D11" s="19"/>
      <c r="E11" s="19"/>
      <c r="F11" s="19"/>
      <c r="G11" s="185" t="e">
        <f>GETPIVOTDATA("Unit Cost",'Sheet3 - Table 1'!$A$2,"Years",2019)/10000000</f>
        <v>#REF!</v>
      </c>
      <c r="H11" s="185" t="e">
        <f>GETPIVOTDATA("Received",'Sheet3 - Table 1'!$A$2,"Years",2019)/10000000</f>
        <v>#REF!</v>
      </c>
    </row>
    <row r="12" spans="1:8" ht="13.5" customHeight="1">
      <c r="A12" s="19"/>
      <c r="B12" s="19"/>
      <c r="C12" s="19"/>
      <c r="D12" s="19"/>
      <c r="E12" s="19"/>
      <c r="F12" s="19"/>
      <c r="G12" s="185" t="e">
        <f>GETPIVOTDATA("Unit Cost",'Sheet3 - Table 1'!$A$2,"Years",2020)/10000000</f>
        <v>#REF!</v>
      </c>
      <c r="H12" s="185" t="e">
        <f>GETPIVOTDATA("Received",'Sheet3 - Table 1'!$A$2,"Years",2020)/10000000</f>
        <v>#REF!</v>
      </c>
    </row>
    <row r="13" spans="1:8" ht="13.5" customHeight="1">
      <c r="A13" s="19"/>
      <c r="B13" s="19"/>
      <c r="C13" s="19"/>
      <c r="D13" s="19"/>
      <c r="E13" s="19"/>
      <c r="F13" s="19"/>
      <c r="G13" s="185" t="e">
        <f>GETPIVOTDATA("Unit Cost",'Sheet3 - Table 1'!$A$2,"Years",2021)/10000000</f>
        <v>#REF!</v>
      </c>
      <c r="H13" s="185" t="e">
        <f>GETPIVOTDATA("Received",'Sheet3 - Table 1'!$A$2,"Years",2021)/10000000</f>
        <v>#REF!</v>
      </c>
    </row>
  </sheetData>
  <pageMargins left="0.7" right="0.7" top="0.75" bottom="0.75" header="0.3" footer="0.3"/>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9"/>
  <sheetViews>
    <sheetView showGridLines="0" workbookViewId="0"/>
  </sheetViews>
  <sheetFormatPr baseColWidth="10" defaultColWidth="13.33203125" defaultRowHeight="17.5" customHeight="1"/>
  <cols>
    <col min="1" max="9" width="13.33203125" style="4" customWidth="1"/>
    <col min="10" max="16384" width="13.33203125" style="4"/>
  </cols>
  <sheetData>
    <row r="1" spans="1:8" ht="12.25" customHeight="1">
      <c r="A1" s="431" t="s">
        <v>15</v>
      </c>
      <c r="B1" s="432"/>
      <c r="C1" s="432"/>
      <c r="D1" s="432"/>
      <c r="E1" s="432"/>
      <c r="F1" s="432"/>
      <c r="G1" s="432"/>
      <c r="H1" s="433"/>
    </row>
    <row r="2" spans="1:8" ht="15.25" customHeight="1">
      <c r="A2" s="186" t="s">
        <v>316</v>
      </c>
      <c r="B2" s="187" t="s">
        <v>317</v>
      </c>
      <c r="C2" s="188" t="s">
        <v>318</v>
      </c>
      <c r="D2" s="189" t="s">
        <v>319</v>
      </c>
      <c r="E2" s="190" t="s">
        <v>320</v>
      </c>
      <c r="F2" s="190" t="s">
        <v>321</v>
      </c>
      <c r="G2" s="190" t="s">
        <v>322</v>
      </c>
      <c r="H2" s="191" t="s">
        <v>323</v>
      </c>
    </row>
    <row r="3" spans="1:8" ht="9" hidden="1" customHeight="1">
      <c r="A3" s="192">
        <v>42005</v>
      </c>
      <c r="B3" s="193">
        <v>44013</v>
      </c>
      <c r="C3" s="194">
        <v>44044</v>
      </c>
      <c r="D3" s="195">
        <v>1</v>
      </c>
      <c r="E3" s="196">
        <v>14304500</v>
      </c>
      <c r="F3" s="196">
        <v>1460000</v>
      </c>
      <c r="G3" s="196">
        <v>15764500</v>
      </c>
      <c r="H3" s="197">
        <v>3845</v>
      </c>
    </row>
    <row r="4" spans="1:8" ht="9" hidden="1" customHeight="1">
      <c r="A4" s="198"/>
      <c r="B4" s="193">
        <v>44013</v>
      </c>
      <c r="C4" s="200"/>
      <c r="D4" s="195">
        <v>1</v>
      </c>
      <c r="E4" s="196">
        <v>14304500</v>
      </c>
      <c r="F4" s="196">
        <v>1460000</v>
      </c>
      <c r="G4" s="196">
        <v>15764500</v>
      </c>
      <c r="H4" s="197">
        <v>3845</v>
      </c>
    </row>
    <row r="5" spans="1:8" ht="9" hidden="1" customHeight="1">
      <c r="A5" s="198"/>
      <c r="B5" s="193">
        <v>44105</v>
      </c>
      <c r="C5" s="194">
        <v>44105</v>
      </c>
      <c r="D5" s="195">
        <v>1</v>
      </c>
      <c r="E5" s="196">
        <v>2666414</v>
      </c>
      <c r="F5" s="196">
        <v>1922826</v>
      </c>
      <c r="G5" s="196">
        <v>4589240</v>
      </c>
      <c r="H5" s="197">
        <v>620</v>
      </c>
    </row>
    <row r="6" spans="1:8" ht="9" hidden="1" customHeight="1">
      <c r="A6" s="198"/>
      <c r="B6" s="199"/>
      <c r="C6" s="194">
        <v>44166</v>
      </c>
      <c r="D6" s="195">
        <v>7</v>
      </c>
      <c r="E6" s="196">
        <v>4290078.0357142901</v>
      </c>
      <c r="F6" s="196">
        <v>23132331.964285702</v>
      </c>
      <c r="G6" s="196">
        <v>27422410</v>
      </c>
      <c r="H6" s="197">
        <v>3905</v>
      </c>
    </row>
    <row r="7" spans="1:8" ht="9" hidden="1" customHeight="1">
      <c r="A7" s="198"/>
      <c r="B7" s="193">
        <v>44105</v>
      </c>
      <c r="C7" s="200"/>
      <c r="D7" s="195">
        <v>8</v>
      </c>
      <c r="E7" s="196">
        <v>6956492.0357142901</v>
      </c>
      <c r="F7" s="196">
        <v>25055157.964285702</v>
      </c>
      <c r="G7" s="196">
        <v>32011650</v>
      </c>
      <c r="H7" s="197">
        <v>4525</v>
      </c>
    </row>
    <row r="8" spans="1:8" ht="13.5" customHeight="1">
      <c r="A8" s="207">
        <v>42005</v>
      </c>
      <c r="B8" s="208"/>
      <c r="C8" s="209"/>
      <c r="D8" s="210">
        <v>9</v>
      </c>
      <c r="E8" s="211">
        <v>21260992.035714298</v>
      </c>
      <c r="F8" s="211">
        <v>26515157.964285702</v>
      </c>
      <c r="G8" s="211">
        <v>47776150</v>
      </c>
      <c r="H8" s="212">
        <v>8370</v>
      </c>
    </row>
    <row r="9" spans="1:8" ht="9" hidden="1" customHeight="1">
      <c r="A9" s="213">
        <v>42370</v>
      </c>
      <c r="B9" s="214">
        <v>43831</v>
      </c>
      <c r="C9" s="215">
        <v>43831</v>
      </c>
      <c r="D9" s="216">
        <v>6</v>
      </c>
      <c r="E9" s="217">
        <v>8753944.2857142892</v>
      </c>
      <c r="F9" s="217">
        <v>14264255.7142857</v>
      </c>
      <c r="G9" s="217">
        <v>23018200</v>
      </c>
      <c r="H9" s="218">
        <v>3500</v>
      </c>
    </row>
    <row r="10" spans="1:8" ht="9" hidden="1" customHeight="1">
      <c r="A10" s="219"/>
      <c r="B10" s="220"/>
      <c r="C10" s="215">
        <v>43862</v>
      </c>
      <c r="D10" s="216">
        <v>6</v>
      </c>
      <c r="E10" s="217">
        <v>4446697.42857143</v>
      </c>
      <c r="F10" s="217">
        <v>18932727.571428601</v>
      </c>
      <c r="G10" s="217">
        <v>23379425</v>
      </c>
      <c r="H10" s="218">
        <v>4255</v>
      </c>
    </row>
    <row r="11" spans="1:8" ht="9" hidden="1" customHeight="1">
      <c r="A11" s="219"/>
      <c r="B11" s="220"/>
      <c r="C11" s="215">
        <v>43891</v>
      </c>
      <c r="D11" s="216">
        <v>14</v>
      </c>
      <c r="E11" s="217">
        <v>33410083.464285702</v>
      </c>
      <c r="F11" s="217">
        <v>60810391.535714298</v>
      </c>
      <c r="G11" s="217">
        <v>94220475</v>
      </c>
      <c r="H11" s="218">
        <v>21820</v>
      </c>
    </row>
    <row r="12" spans="1:8" ht="9" hidden="1" customHeight="1">
      <c r="A12" s="219"/>
      <c r="B12" s="214">
        <v>43831</v>
      </c>
      <c r="C12" s="221"/>
      <c r="D12" s="216">
        <v>26</v>
      </c>
      <c r="E12" s="217">
        <v>46610725.178571403</v>
      </c>
      <c r="F12" s="217">
        <v>94007374.821428597</v>
      </c>
      <c r="G12" s="217">
        <v>140618100</v>
      </c>
      <c r="H12" s="218">
        <v>29575</v>
      </c>
    </row>
    <row r="13" spans="1:8" ht="9" hidden="1" customHeight="1">
      <c r="A13" s="219"/>
      <c r="B13" s="214">
        <v>43922</v>
      </c>
      <c r="C13" s="215">
        <v>43922</v>
      </c>
      <c r="D13" s="216">
        <v>12</v>
      </c>
      <c r="E13" s="217">
        <v>15856280.2857143</v>
      </c>
      <c r="F13" s="217">
        <v>25828469.714285702</v>
      </c>
      <c r="G13" s="217">
        <v>41684750</v>
      </c>
      <c r="H13" s="218">
        <v>6170</v>
      </c>
    </row>
    <row r="14" spans="1:8" ht="9" hidden="1" customHeight="1">
      <c r="A14" s="219"/>
      <c r="B14" s="220"/>
      <c r="C14" s="215">
        <v>43952</v>
      </c>
      <c r="D14" s="216">
        <v>3</v>
      </c>
      <c r="E14" s="217">
        <v>5525419</v>
      </c>
      <c r="F14" s="217">
        <v>6849581</v>
      </c>
      <c r="G14" s="217">
        <v>12375000</v>
      </c>
      <c r="H14" s="218">
        <v>2460</v>
      </c>
    </row>
    <row r="15" spans="1:8" ht="9" hidden="1" customHeight="1">
      <c r="A15" s="219"/>
      <c r="B15" s="220"/>
      <c r="C15" s="215">
        <v>43983</v>
      </c>
      <c r="D15" s="216">
        <v>12</v>
      </c>
      <c r="E15" s="217">
        <v>19617184.821428601</v>
      </c>
      <c r="F15" s="217">
        <v>47617495.178571403</v>
      </c>
      <c r="G15" s="217">
        <v>67234680</v>
      </c>
      <c r="H15" s="218">
        <v>12280</v>
      </c>
    </row>
    <row r="16" spans="1:8" ht="9" hidden="1" customHeight="1">
      <c r="A16" s="219"/>
      <c r="B16" s="214">
        <v>43922</v>
      </c>
      <c r="C16" s="221"/>
      <c r="D16" s="216">
        <v>27</v>
      </c>
      <c r="E16" s="217">
        <v>40998884.107142799</v>
      </c>
      <c r="F16" s="217">
        <v>80295545.892857194</v>
      </c>
      <c r="G16" s="217">
        <v>121294430</v>
      </c>
      <c r="H16" s="218">
        <v>20910</v>
      </c>
    </row>
    <row r="17" spans="1:8" ht="9" hidden="1" customHeight="1">
      <c r="A17" s="219"/>
      <c r="B17" s="214">
        <v>44013</v>
      </c>
      <c r="C17" s="215">
        <v>44013</v>
      </c>
      <c r="D17" s="216">
        <v>5</v>
      </c>
      <c r="E17" s="217">
        <v>5548973.3928571502</v>
      </c>
      <c r="F17" s="217">
        <v>9090506.6071428508</v>
      </c>
      <c r="G17" s="217">
        <v>14639480</v>
      </c>
      <c r="H17" s="218">
        <v>2600</v>
      </c>
    </row>
    <row r="18" spans="1:8" ht="9" hidden="1" customHeight="1">
      <c r="A18" s="219"/>
      <c r="B18" s="220"/>
      <c r="C18" s="215">
        <v>44044</v>
      </c>
      <c r="D18" s="216">
        <v>5</v>
      </c>
      <c r="E18" s="217">
        <v>4548929.8571428601</v>
      </c>
      <c r="F18" s="217">
        <v>16245170.142857101</v>
      </c>
      <c r="G18" s="217">
        <v>20794100</v>
      </c>
      <c r="H18" s="218">
        <v>4280</v>
      </c>
    </row>
    <row r="19" spans="1:8" ht="9" hidden="1" customHeight="1">
      <c r="A19" s="219"/>
      <c r="B19" s="220"/>
      <c r="C19" s="215">
        <v>44075</v>
      </c>
      <c r="D19" s="216">
        <v>2</v>
      </c>
      <c r="E19" s="217">
        <v>2973316.8571428601</v>
      </c>
      <c r="F19" s="217">
        <v>6705683.1428571399</v>
      </c>
      <c r="G19" s="217">
        <v>9679000</v>
      </c>
      <c r="H19" s="218">
        <v>1350</v>
      </c>
    </row>
    <row r="20" spans="1:8" ht="9" hidden="1" customHeight="1">
      <c r="A20" s="219"/>
      <c r="B20" s="214">
        <v>44013</v>
      </c>
      <c r="C20" s="221"/>
      <c r="D20" s="216">
        <v>12</v>
      </c>
      <c r="E20" s="217">
        <v>13071220.107142899</v>
      </c>
      <c r="F20" s="217">
        <v>32041359.892857101</v>
      </c>
      <c r="G20" s="217">
        <v>45112580</v>
      </c>
      <c r="H20" s="218">
        <v>8230</v>
      </c>
    </row>
    <row r="21" spans="1:8" ht="9" hidden="1" customHeight="1">
      <c r="A21" s="219"/>
      <c r="B21" s="214">
        <v>44105</v>
      </c>
      <c r="C21" s="215">
        <v>44105</v>
      </c>
      <c r="D21" s="216">
        <v>13</v>
      </c>
      <c r="E21" s="217">
        <v>20120650.186816499</v>
      </c>
      <c r="F21" s="217">
        <v>29855029.813183501</v>
      </c>
      <c r="G21" s="217">
        <v>49975680</v>
      </c>
      <c r="H21" s="218">
        <v>7530</v>
      </c>
    </row>
    <row r="22" spans="1:8" ht="9" hidden="1" customHeight="1">
      <c r="A22" s="219"/>
      <c r="B22" s="220"/>
      <c r="C22" s="215">
        <v>44136</v>
      </c>
      <c r="D22" s="216">
        <v>9</v>
      </c>
      <c r="E22" s="217">
        <v>24487809.5</v>
      </c>
      <c r="F22" s="217">
        <v>24449105.5</v>
      </c>
      <c r="G22" s="217">
        <v>48936915</v>
      </c>
      <c r="H22" s="218">
        <v>8800</v>
      </c>
    </row>
    <row r="23" spans="1:8" ht="9" hidden="1" customHeight="1">
      <c r="A23" s="219"/>
      <c r="B23" s="220"/>
      <c r="C23" s="215">
        <v>44166</v>
      </c>
      <c r="D23" s="216">
        <v>5</v>
      </c>
      <c r="E23" s="217">
        <v>10025433</v>
      </c>
      <c r="F23" s="217">
        <v>12343167</v>
      </c>
      <c r="G23" s="217">
        <v>22368600</v>
      </c>
      <c r="H23" s="218">
        <v>4205</v>
      </c>
    </row>
    <row r="24" spans="1:8" ht="9" hidden="1" customHeight="1">
      <c r="A24" s="219"/>
      <c r="B24" s="214">
        <v>44105</v>
      </c>
      <c r="C24" s="221"/>
      <c r="D24" s="216">
        <v>27</v>
      </c>
      <c r="E24" s="217">
        <v>54633892.686816499</v>
      </c>
      <c r="F24" s="217">
        <v>66647302.313183501</v>
      </c>
      <c r="G24" s="217">
        <v>121281195</v>
      </c>
      <c r="H24" s="218">
        <v>20535</v>
      </c>
    </row>
    <row r="25" spans="1:8" ht="13.5" customHeight="1">
      <c r="A25" s="213">
        <v>42370</v>
      </c>
      <c r="B25" s="220"/>
      <c r="C25" s="221"/>
      <c r="D25" s="216">
        <v>92</v>
      </c>
      <c r="E25" s="217">
        <v>155314722.07967401</v>
      </c>
      <c r="F25" s="217">
        <v>272991582.92032599</v>
      </c>
      <c r="G25" s="217">
        <v>428306305</v>
      </c>
      <c r="H25" s="218">
        <v>79250</v>
      </c>
    </row>
    <row r="26" spans="1:8" ht="9" hidden="1" customHeight="1">
      <c r="A26" s="213">
        <v>42736</v>
      </c>
      <c r="B26" s="214">
        <v>43831</v>
      </c>
      <c r="C26" s="215">
        <v>43831</v>
      </c>
      <c r="D26" s="216">
        <v>1</v>
      </c>
      <c r="E26" s="217">
        <v>-148829.10714285701</v>
      </c>
      <c r="F26" s="217">
        <v>3456579.1071428601</v>
      </c>
      <c r="G26" s="217">
        <v>3307750</v>
      </c>
      <c r="H26" s="218">
        <v>655</v>
      </c>
    </row>
    <row r="27" spans="1:8" ht="9" hidden="1" customHeight="1">
      <c r="A27" s="219"/>
      <c r="B27" s="220"/>
      <c r="C27" s="215">
        <v>43862</v>
      </c>
      <c r="D27" s="216">
        <v>1</v>
      </c>
      <c r="E27" s="217">
        <v>3503956.6428571399</v>
      </c>
      <c r="F27" s="217">
        <v>5956043.3571428601</v>
      </c>
      <c r="G27" s="217">
        <v>9460000</v>
      </c>
      <c r="H27" s="218">
        <v>2150</v>
      </c>
    </row>
    <row r="28" spans="1:8" ht="9" hidden="1" customHeight="1">
      <c r="A28" s="219"/>
      <c r="B28" s="220"/>
      <c r="C28" s="215">
        <v>43891</v>
      </c>
      <c r="D28" s="216">
        <v>4</v>
      </c>
      <c r="E28" s="217">
        <v>9473371.8571428601</v>
      </c>
      <c r="F28" s="217">
        <v>6961108.1428571399</v>
      </c>
      <c r="G28" s="217">
        <v>16434480</v>
      </c>
      <c r="H28" s="218">
        <v>3060</v>
      </c>
    </row>
    <row r="29" spans="1:8" ht="9" hidden="1" customHeight="1">
      <c r="A29" s="219"/>
      <c r="B29" s="214">
        <v>43831</v>
      </c>
      <c r="C29" s="221"/>
      <c r="D29" s="216">
        <v>6</v>
      </c>
      <c r="E29" s="217">
        <v>12828499.392857101</v>
      </c>
      <c r="F29" s="217">
        <v>16373730.607142899</v>
      </c>
      <c r="G29" s="217">
        <v>29202230</v>
      </c>
      <c r="H29" s="218">
        <v>5865</v>
      </c>
    </row>
    <row r="30" spans="1:8" ht="9" hidden="1" customHeight="1">
      <c r="A30" s="219"/>
      <c r="B30" s="214">
        <v>43922</v>
      </c>
      <c r="C30" s="215">
        <v>43922</v>
      </c>
      <c r="D30" s="216">
        <v>4</v>
      </c>
      <c r="E30" s="217">
        <v>3493133.7142857099</v>
      </c>
      <c r="F30" s="217">
        <v>6280366.2857142901</v>
      </c>
      <c r="G30" s="217">
        <v>9773500</v>
      </c>
      <c r="H30" s="218">
        <v>1795</v>
      </c>
    </row>
    <row r="31" spans="1:8" ht="9" hidden="1" customHeight="1">
      <c r="A31" s="219"/>
      <c r="B31" s="220"/>
      <c r="C31" s="215">
        <v>43952</v>
      </c>
      <c r="D31" s="216">
        <v>8</v>
      </c>
      <c r="E31" s="217">
        <v>17264104</v>
      </c>
      <c r="F31" s="217">
        <v>18307871</v>
      </c>
      <c r="G31" s="217">
        <v>35571975</v>
      </c>
      <c r="H31" s="218">
        <v>5755</v>
      </c>
    </row>
    <row r="32" spans="1:8" ht="9" hidden="1" customHeight="1">
      <c r="A32" s="219"/>
      <c r="B32" s="220"/>
      <c r="C32" s="215">
        <v>43983</v>
      </c>
      <c r="D32" s="216">
        <v>8</v>
      </c>
      <c r="E32" s="217">
        <v>18329567.25</v>
      </c>
      <c r="F32" s="217">
        <v>38155762.75</v>
      </c>
      <c r="G32" s="217">
        <v>56485330</v>
      </c>
      <c r="H32" s="218">
        <v>7725</v>
      </c>
    </row>
    <row r="33" spans="1:8" ht="9" hidden="1" customHeight="1">
      <c r="A33" s="219"/>
      <c r="B33" s="214">
        <v>43922</v>
      </c>
      <c r="C33" s="221"/>
      <c r="D33" s="216">
        <v>20</v>
      </c>
      <c r="E33" s="217">
        <v>39086804.964285702</v>
      </c>
      <c r="F33" s="217">
        <v>62744000.035714202</v>
      </c>
      <c r="G33" s="217">
        <v>101830805</v>
      </c>
      <c r="H33" s="218">
        <v>15275</v>
      </c>
    </row>
    <row r="34" spans="1:8" ht="9" hidden="1" customHeight="1">
      <c r="A34" s="219"/>
      <c r="B34" s="214">
        <v>44013</v>
      </c>
      <c r="C34" s="215">
        <v>44013</v>
      </c>
      <c r="D34" s="216">
        <v>2</v>
      </c>
      <c r="E34" s="217">
        <v>1182630.2857142901</v>
      </c>
      <c r="F34" s="217">
        <v>4021369.7142857099</v>
      </c>
      <c r="G34" s="217">
        <v>5204000</v>
      </c>
      <c r="H34" s="218">
        <v>1160</v>
      </c>
    </row>
    <row r="35" spans="1:8" ht="9" hidden="1" customHeight="1">
      <c r="A35" s="219"/>
      <c r="B35" s="220"/>
      <c r="C35" s="215">
        <v>44044</v>
      </c>
      <c r="D35" s="216">
        <v>4</v>
      </c>
      <c r="E35" s="217">
        <v>3307949.6071428601</v>
      </c>
      <c r="F35" s="217">
        <v>7173925.3928571399</v>
      </c>
      <c r="G35" s="217">
        <v>10481875</v>
      </c>
      <c r="H35" s="218">
        <v>1825</v>
      </c>
    </row>
    <row r="36" spans="1:8" ht="9" hidden="1" customHeight="1">
      <c r="A36" s="219"/>
      <c r="B36" s="220"/>
      <c r="C36" s="215">
        <v>44075</v>
      </c>
      <c r="D36" s="216">
        <v>3</v>
      </c>
      <c r="E36" s="217">
        <v>3589276.7857142901</v>
      </c>
      <c r="F36" s="217">
        <v>21303123.214285702</v>
      </c>
      <c r="G36" s="217">
        <v>24892400</v>
      </c>
      <c r="H36" s="218">
        <v>3360</v>
      </c>
    </row>
    <row r="37" spans="1:8" ht="9" hidden="1" customHeight="1">
      <c r="A37" s="219"/>
      <c r="B37" s="214">
        <v>44013</v>
      </c>
      <c r="C37" s="221"/>
      <c r="D37" s="216">
        <v>9</v>
      </c>
      <c r="E37" s="217">
        <v>8079856.67857143</v>
      </c>
      <c r="F37" s="217">
        <v>32498418.3214285</v>
      </c>
      <c r="G37" s="217">
        <v>40578275</v>
      </c>
      <c r="H37" s="218">
        <v>6345</v>
      </c>
    </row>
    <row r="38" spans="1:8" ht="9" hidden="1" customHeight="1">
      <c r="A38" s="219"/>
      <c r="B38" s="214">
        <v>44105</v>
      </c>
      <c r="C38" s="215">
        <v>44105</v>
      </c>
      <c r="D38" s="216">
        <v>2</v>
      </c>
      <c r="E38" s="217">
        <v>5905328.2857142901</v>
      </c>
      <c r="F38" s="217">
        <v>3519671.7142857099</v>
      </c>
      <c r="G38" s="217">
        <v>9425000</v>
      </c>
      <c r="H38" s="218">
        <v>1350</v>
      </c>
    </row>
    <row r="39" spans="1:8" ht="9" hidden="1" customHeight="1">
      <c r="A39" s="219"/>
      <c r="B39" s="220"/>
      <c r="C39" s="215">
        <v>44136</v>
      </c>
      <c r="D39" s="216">
        <v>4</v>
      </c>
      <c r="E39" s="217">
        <v>6449388.3928571399</v>
      </c>
      <c r="F39" s="217">
        <v>11115261.607142899</v>
      </c>
      <c r="G39" s="217">
        <v>17564650</v>
      </c>
      <c r="H39" s="218">
        <v>3230</v>
      </c>
    </row>
    <row r="40" spans="1:8" ht="9" hidden="1" customHeight="1">
      <c r="A40" s="219"/>
      <c r="B40" s="220"/>
      <c r="C40" s="215">
        <v>44166</v>
      </c>
      <c r="D40" s="216">
        <v>7</v>
      </c>
      <c r="E40" s="217">
        <v>7475406.17857143</v>
      </c>
      <c r="F40" s="217">
        <v>31212593.821428601</v>
      </c>
      <c r="G40" s="217">
        <v>38688000</v>
      </c>
      <c r="H40" s="218">
        <v>5915</v>
      </c>
    </row>
    <row r="41" spans="1:8" ht="9" hidden="1" customHeight="1">
      <c r="A41" s="219"/>
      <c r="B41" s="214">
        <v>44105</v>
      </c>
      <c r="C41" s="221"/>
      <c r="D41" s="216">
        <v>13</v>
      </c>
      <c r="E41" s="217">
        <v>19830122.857142899</v>
      </c>
      <c r="F41" s="217">
        <v>45847527.142857097</v>
      </c>
      <c r="G41" s="217">
        <v>65677650</v>
      </c>
      <c r="H41" s="218">
        <v>10495</v>
      </c>
    </row>
    <row r="42" spans="1:8" ht="13.5" customHeight="1">
      <c r="A42" s="213">
        <v>42736</v>
      </c>
      <c r="B42" s="220"/>
      <c r="C42" s="221"/>
      <c r="D42" s="216">
        <v>48</v>
      </c>
      <c r="E42" s="217">
        <v>79825283.892857194</v>
      </c>
      <c r="F42" s="217">
        <v>157463676.10714301</v>
      </c>
      <c r="G42" s="217">
        <v>237288960</v>
      </c>
      <c r="H42" s="218">
        <v>37980</v>
      </c>
    </row>
    <row r="43" spans="1:8" ht="9" hidden="1" customHeight="1">
      <c r="A43" s="213">
        <v>43101</v>
      </c>
      <c r="B43" s="214">
        <v>43831</v>
      </c>
      <c r="C43" s="215">
        <v>43831</v>
      </c>
      <c r="D43" s="216">
        <v>5</v>
      </c>
      <c r="E43" s="217">
        <v>14804769.428571399</v>
      </c>
      <c r="F43" s="217">
        <v>21107060.571428601</v>
      </c>
      <c r="G43" s="217">
        <v>35911830</v>
      </c>
      <c r="H43" s="218">
        <v>4785</v>
      </c>
    </row>
    <row r="44" spans="1:8" ht="9" hidden="1" customHeight="1">
      <c r="A44" s="219"/>
      <c r="B44" s="220"/>
      <c r="C44" s="215">
        <v>43862</v>
      </c>
      <c r="D44" s="216">
        <v>2</v>
      </c>
      <c r="E44" s="217">
        <v>4142408.4375</v>
      </c>
      <c r="F44" s="217">
        <v>5645691.5625</v>
      </c>
      <c r="G44" s="217">
        <v>9788100</v>
      </c>
      <c r="H44" s="218">
        <v>1470</v>
      </c>
    </row>
    <row r="45" spans="1:8" ht="9" hidden="1" customHeight="1">
      <c r="A45" s="219"/>
      <c r="B45" s="220"/>
      <c r="C45" s="215">
        <v>43891</v>
      </c>
      <c r="D45" s="216">
        <v>1</v>
      </c>
      <c r="E45" s="217">
        <v>60000</v>
      </c>
      <c r="F45" s="217">
        <v>1850000</v>
      </c>
      <c r="G45" s="217">
        <v>1910000</v>
      </c>
      <c r="H45" s="218">
        <v>200</v>
      </c>
    </row>
    <row r="46" spans="1:8" ht="9" hidden="1" customHeight="1">
      <c r="A46" s="219"/>
      <c r="B46" s="214">
        <v>43831</v>
      </c>
      <c r="C46" s="221"/>
      <c r="D46" s="216">
        <v>8</v>
      </c>
      <c r="E46" s="217">
        <v>19007177.866071399</v>
      </c>
      <c r="F46" s="217">
        <v>28602752.133928601</v>
      </c>
      <c r="G46" s="217">
        <v>47609930</v>
      </c>
      <c r="H46" s="218">
        <v>6455</v>
      </c>
    </row>
    <row r="47" spans="1:8" ht="9" hidden="1" customHeight="1">
      <c r="A47" s="219"/>
      <c r="B47" s="214">
        <v>43922</v>
      </c>
      <c r="C47" s="215">
        <v>43922</v>
      </c>
      <c r="D47" s="216">
        <v>2</v>
      </c>
      <c r="E47" s="217">
        <v>503976.78571428597</v>
      </c>
      <c r="F47" s="217">
        <v>2664023.2142857099</v>
      </c>
      <c r="G47" s="217">
        <v>3168000</v>
      </c>
      <c r="H47" s="218">
        <v>720</v>
      </c>
    </row>
    <row r="48" spans="1:8" ht="9" hidden="1" customHeight="1">
      <c r="A48" s="219"/>
      <c r="B48" s="220"/>
      <c r="C48" s="215">
        <v>43952</v>
      </c>
      <c r="D48" s="216">
        <v>6</v>
      </c>
      <c r="E48" s="217">
        <v>2348252.8571428601</v>
      </c>
      <c r="F48" s="217">
        <v>13880907.142857101</v>
      </c>
      <c r="G48" s="217">
        <v>16229160</v>
      </c>
      <c r="H48" s="218">
        <v>3465</v>
      </c>
    </row>
    <row r="49" spans="1:8" ht="9" hidden="1" customHeight="1">
      <c r="A49" s="219"/>
      <c r="B49" s="220"/>
      <c r="C49" s="215">
        <v>43983</v>
      </c>
      <c r="D49" s="216">
        <v>7</v>
      </c>
      <c r="E49" s="217">
        <v>15024115.5</v>
      </c>
      <c r="F49" s="217">
        <v>11769419.5</v>
      </c>
      <c r="G49" s="217">
        <v>26793535</v>
      </c>
      <c r="H49" s="218">
        <v>5440</v>
      </c>
    </row>
    <row r="50" spans="1:8" ht="9" hidden="1" customHeight="1">
      <c r="A50" s="219"/>
      <c r="B50" s="214">
        <v>43922</v>
      </c>
      <c r="C50" s="221"/>
      <c r="D50" s="216">
        <v>15</v>
      </c>
      <c r="E50" s="217">
        <v>17876345.142857201</v>
      </c>
      <c r="F50" s="217">
        <v>28314349.857142799</v>
      </c>
      <c r="G50" s="217">
        <v>46190695</v>
      </c>
      <c r="H50" s="218">
        <v>9625</v>
      </c>
    </row>
    <row r="51" spans="1:8" ht="9" hidden="1" customHeight="1">
      <c r="A51" s="219"/>
      <c r="B51" s="214">
        <v>44013</v>
      </c>
      <c r="C51" s="215">
        <v>44013</v>
      </c>
      <c r="D51" s="216">
        <v>2</v>
      </c>
      <c r="E51" s="217">
        <v>1158402.8571428601</v>
      </c>
      <c r="F51" s="217">
        <v>5011607.1428571399</v>
      </c>
      <c r="G51" s="217">
        <v>6170010</v>
      </c>
      <c r="H51" s="218">
        <v>1335</v>
      </c>
    </row>
    <row r="52" spans="1:8" ht="9" hidden="1" customHeight="1">
      <c r="A52" s="219"/>
      <c r="B52" s="220"/>
      <c r="C52" s="215">
        <v>44044</v>
      </c>
      <c r="D52" s="216">
        <v>4</v>
      </c>
      <c r="E52" s="217">
        <v>9999408.75</v>
      </c>
      <c r="F52" s="217">
        <v>6453331.25</v>
      </c>
      <c r="G52" s="217">
        <v>16452740</v>
      </c>
      <c r="H52" s="218">
        <v>2820</v>
      </c>
    </row>
    <row r="53" spans="1:8" ht="9" hidden="1" customHeight="1">
      <c r="A53" s="219"/>
      <c r="B53" s="220"/>
      <c r="C53" s="215">
        <v>44075</v>
      </c>
      <c r="D53" s="216">
        <v>4</v>
      </c>
      <c r="E53" s="217">
        <v>7943749.7142857201</v>
      </c>
      <c r="F53" s="217">
        <v>8053450.2857142799</v>
      </c>
      <c r="G53" s="217">
        <v>15997200</v>
      </c>
      <c r="H53" s="218">
        <v>3535</v>
      </c>
    </row>
    <row r="54" spans="1:8" ht="9" hidden="1" customHeight="1">
      <c r="A54" s="219"/>
      <c r="B54" s="214">
        <v>44013</v>
      </c>
      <c r="C54" s="221"/>
      <c r="D54" s="216">
        <v>10</v>
      </c>
      <c r="E54" s="217">
        <v>19101561.321428601</v>
      </c>
      <c r="F54" s="217">
        <v>19518388.678571399</v>
      </c>
      <c r="G54" s="217">
        <v>38619950</v>
      </c>
      <c r="H54" s="218">
        <v>7690</v>
      </c>
    </row>
    <row r="55" spans="1:8" ht="9" hidden="1" customHeight="1">
      <c r="A55" s="219"/>
      <c r="B55" s="214">
        <v>44105</v>
      </c>
      <c r="C55" s="215">
        <v>44105</v>
      </c>
      <c r="D55" s="216">
        <v>3</v>
      </c>
      <c r="E55" s="217">
        <v>1254000</v>
      </c>
      <c r="F55" s="217">
        <v>5050000</v>
      </c>
      <c r="G55" s="217">
        <v>6304000</v>
      </c>
      <c r="H55" s="218">
        <v>1385</v>
      </c>
    </row>
    <row r="56" spans="1:8" ht="9" hidden="1" customHeight="1">
      <c r="A56" s="219"/>
      <c r="B56" s="220"/>
      <c r="C56" s="215">
        <v>44136</v>
      </c>
      <c r="D56" s="216">
        <v>3</v>
      </c>
      <c r="E56" s="217">
        <v>1691182.8571428601</v>
      </c>
      <c r="F56" s="217">
        <v>6104107.1428571502</v>
      </c>
      <c r="G56" s="217">
        <v>7795290</v>
      </c>
      <c r="H56" s="218">
        <v>1490</v>
      </c>
    </row>
    <row r="57" spans="1:8" ht="9" hidden="1" customHeight="1">
      <c r="A57" s="219"/>
      <c r="B57" s="220"/>
      <c r="C57" s="215">
        <v>44166</v>
      </c>
      <c r="D57" s="216">
        <v>2</v>
      </c>
      <c r="E57" s="217">
        <v>1264952.67857143</v>
      </c>
      <c r="F57" s="217">
        <v>3438047.32142857</v>
      </c>
      <c r="G57" s="217">
        <v>4703000</v>
      </c>
      <c r="H57" s="218">
        <v>940</v>
      </c>
    </row>
    <row r="58" spans="1:8" ht="9" hidden="1" customHeight="1">
      <c r="A58" s="219"/>
      <c r="B58" s="214">
        <v>44105</v>
      </c>
      <c r="C58" s="221"/>
      <c r="D58" s="216">
        <v>8</v>
      </c>
      <c r="E58" s="217">
        <v>4210135.5357142799</v>
      </c>
      <c r="F58" s="217">
        <v>14592154.4642857</v>
      </c>
      <c r="G58" s="217">
        <v>18802290</v>
      </c>
      <c r="H58" s="218">
        <v>3815</v>
      </c>
    </row>
    <row r="59" spans="1:8" ht="13.5" customHeight="1">
      <c r="A59" s="213">
        <v>43101</v>
      </c>
      <c r="B59" s="220"/>
      <c r="C59" s="221"/>
      <c r="D59" s="216">
        <v>41</v>
      </c>
      <c r="E59" s="217">
        <v>60195219.866071403</v>
      </c>
      <c r="F59" s="217">
        <v>91027645.133928597</v>
      </c>
      <c r="G59" s="217">
        <v>151222865</v>
      </c>
      <c r="H59" s="218">
        <v>27585</v>
      </c>
    </row>
    <row r="60" spans="1:8" ht="9" hidden="1" customHeight="1">
      <c r="A60" s="213">
        <v>43466</v>
      </c>
      <c r="B60" s="214">
        <v>43831</v>
      </c>
      <c r="C60" s="215">
        <v>43831</v>
      </c>
      <c r="D60" s="216">
        <v>4</v>
      </c>
      <c r="E60" s="217">
        <v>2374705.3571428601</v>
      </c>
      <c r="F60" s="217">
        <v>6751294.6428571399</v>
      </c>
      <c r="G60" s="217">
        <v>9126000</v>
      </c>
      <c r="H60" s="218">
        <v>1840</v>
      </c>
    </row>
    <row r="61" spans="1:8" ht="9" hidden="1" customHeight="1">
      <c r="A61" s="219"/>
      <c r="B61" s="220"/>
      <c r="C61" s="215">
        <v>43862</v>
      </c>
      <c r="D61" s="216">
        <v>1</v>
      </c>
      <c r="E61" s="217">
        <v>4388142.8571428601</v>
      </c>
      <c r="F61" s="217">
        <v>142857.14285714299</v>
      </c>
      <c r="G61" s="217">
        <v>4531000</v>
      </c>
      <c r="H61" s="218">
        <v>985</v>
      </c>
    </row>
    <row r="62" spans="1:8" ht="9" hidden="1" customHeight="1">
      <c r="A62" s="219"/>
      <c r="B62" s="220"/>
      <c r="C62" s="215">
        <v>43891</v>
      </c>
      <c r="D62" s="216">
        <v>2</v>
      </c>
      <c r="E62" s="217">
        <v>2958000</v>
      </c>
      <c r="F62" s="217">
        <v>1882000</v>
      </c>
      <c r="G62" s="217">
        <v>4840000</v>
      </c>
      <c r="H62" s="218">
        <v>940</v>
      </c>
    </row>
    <row r="63" spans="1:8" ht="9" hidden="1" customHeight="1">
      <c r="A63" s="219"/>
      <c r="B63" s="214">
        <v>43831</v>
      </c>
      <c r="C63" s="221"/>
      <c r="D63" s="216">
        <v>7</v>
      </c>
      <c r="E63" s="217">
        <v>9720848.2142857201</v>
      </c>
      <c r="F63" s="217">
        <v>8776151.7857142799</v>
      </c>
      <c r="G63" s="217">
        <v>18497000</v>
      </c>
      <c r="H63" s="218">
        <v>3765</v>
      </c>
    </row>
    <row r="64" spans="1:8" ht="9" hidden="1" customHeight="1">
      <c r="A64" s="219"/>
      <c r="B64" s="214">
        <v>43922</v>
      </c>
      <c r="C64" s="215">
        <v>43922</v>
      </c>
      <c r="D64" s="216">
        <v>4</v>
      </c>
      <c r="E64" s="217">
        <v>6532537</v>
      </c>
      <c r="F64" s="217">
        <v>11844963</v>
      </c>
      <c r="G64" s="217">
        <v>18377500</v>
      </c>
      <c r="H64" s="218">
        <v>4065</v>
      </c>
    </row>
    <row r="65" spans="1:8" ht="9" hidden="1" customHeight="1">
      <c r="A65" s="219"/>
      <c r="B65" s="220"/>
      <c r="C65" s="215">
        <v>43952</v>
      </c>
      <c r="D65" s="216">
        <v>4</v>
      </c>
      <c r="E65" s="217">
        <v>8655299.4642857108</v>
      </c>
      <c r="F65" s="217">
        <v>13936200.5357143</v>
      </c>
      <c r="G65" s="217">
        <v>22591500</v>
      </c>
      <c r="H65" s="218">
        <v>4380</v>
      </c>
    </row>
    <row r="66" spans="1:8" ht="9" hidden="1" customHeight="1">
      <c r="A66" s="219"/>
      <c r="B66" s="220"/>
      <c r="C66" s="215">
        <v>43983</v>
      </c>
      <c r="D66" s="216">
        <v>1</v>
      </c>
      <c r="E66" s="217">
        <v>4394732.1428571399</v>
      </c>
      <c r="F66" s="217">
        <v>3525267.8571428601</v>
      </c>
      <c r="G66" s="217">
        <v>7920000</v>
      </c>
      <c r="H66" s="218">
        <v>1800</v>
      </c>
    </row>
    <row r="67" spans="1:8" ht="9" hidden="1" customHeight="1">
      <c r="A67" s="219"/>
      <c r="B67" s="214">
        <v>43922</v>
      </c>
      <c r="C67" s="221"/>
      <c r="D67" s="216">
        <v>9</v>
      </c>
      <c r="E67" s="217">
        <v>19582568.607142799</v>
      </c>
      <c r="F67" s="217">
        <v>29306431.392857101</v>
      </c>
      <c r="G67" s="217">
        <v>48889000</v>
      </c>
      <c r="H67" s="218">
        <v>10245</v>
      </c>
    </row>
    <row r="68" spans="1:8" ht="9" hidden="1" customHeight="1">
      <c r="A68" s="219"/>
      <c r="B68" s="214">
        <v>44013</v>
      </c>
      <c r="C68" s="215">
        <v>44013</v>
      </c>
      <c r="D68" s="216">
        <v>13</v>
      </c>
      <c r="E68" s="217">
        <v>14590757.142857101</v>
      </c>
      <c r="F68" s="217">
        <v>46324242.857142903</v>
      </c>
      <c r="G68" s="217">
        <v>60915000</v>
      </c>
      <c r="H68" s="218">
        <v>12780</v>
      </c>
    </row>
    <row r="69" spans="1:8" ht="9" hidden="1" customHeight="1">
      <c r="A69" s="219"/>
      <c r="B69" s="214">
        <v>44013</v>
      </c>
      <c r="C69" s="221"/>
      <c r="D69" s="216">
        <v>13</v>
      </c>
      <c r="E69" s="217">
        <v>14590757.142857101</v>
      </c>
      <c r="F69" s="217">
        <v>46324242.857142903</v>
      </c>
      <c r="G69" s="217">
        <v>60915000</v>
      </c>
      <c r="H69" s="218">
        <v>12780</v>
      </c>
    </row>
    <row r="70" spans="1:8" ht="9" hidden="1" customHeight="1">
      <c r="A70" s="219"/>
      <c r="B70" s="214">
        <v>44105</v>
      </c>
      <c r="C70" s="215">
        <v>44105</v>
      </c>
      <c r="D70" s="216">
        <v>17</v>
      </c>
      <c r="E70" s="217">
        <v>53441514.285714298</v>
      </c>
      <c r="F70" s="217">
        <v>21923485.714285702</v>
      </c>
      <c r="G70" s="217">
        <v>75365000</v>
      </c>
      <c r="H70" s="218">
        <v>17275</v>
      </c>
    </row>
    <row r="71" spans="1:8" ht="9" hidden="1" customHeight="1">
      <c r="A71" s="219"/>
      <c r="B71" s="220"/>
      <c r="C71" s="215">
        <v>44136</v>
      </c>
      <c r="D71" s="216">
        <v>3</v>
      </c>
      <c r="E71" s="217">
        <v>6783123.57142857</v>
      </c>
      <c r="F71" s="217">
        <v>2176656.42857143</v>
      </c>
      <c r="G71" s="217">
        <v>8959780</v>
      </c>
      <c r="H71" s="218">
        <v>2030</v>
      </c>
    </row>
    <row r="72" spans="1:8" ht="9" hidden="1" customHeight="1">
      <c r="A72" s="219"/>
      <c r="B72" s="220"/>
      <c r="C72" s="215">
        <v>44166</v>
      </c>
      <c r="D72" s="216">
        <v>5</v>
      </c>
      <c r="E72" s="217">
        <v>6171042.8571428498</v>
      </c>
      <c r="F72" s="217">
        <v>14999807.142857101</v>
      </c>
      <c r="G72" s="217">
        <v>21170850</v>
      </c>
      <c r="H72" s="218">
        <v>4725</v>
      </c>
    </row>
    <row r="73" spans="1:8" ht="9" hidden="1" customHeight="1">
      <c r="A73" s="219"/>
      <c r="B73" s="214">
        <v>44105</v>
      </c>
      <c r="C73" s="221"/>
      <c r="D73" s="216">
        <v>25</v>
      </c>
      <c r="E73" s="217">
        <v>66395680.714285702</v>
      </c>
      <c r="F73" s="217">
        <v>39099949.285714298</v>
      </c>
      <c r="G73" s="217">
        <v>105495630</v>
      </c>
      <c r="H73" s="218">
        <v>24030</v>
      </c>
    </row>
    <row r="74" spans="1:8" ht="13.5" customHeight="1">
      <c r="A74" s="213">
        <v>43466</v>
      </c>
      <c r="B74" s="220"/>
      <c r="C74" s="221"/>
      <c r="D74" s="216">
        <v>54</v>
      </c>
      <c r="E74" s="217">
        <v>110289854.678571</v>
      </c>
      <c r="F74" s="217">
        <v>123506775.321429</v>
      </c>
      <c r="G74" s="217">
        <v>233796630</v>
      </c>
      <c r="H74" s="218">
        <v>50820</v>
      </c>
    </row>
    <row r="75" spans="1:8" ht="9" hidden="1" customHeight="1">
      <c r="A75" s="213">
        <v>43831</v>
      </c>
      <c r="B75" s="214">
        <v>43831</v>
      </c>
      <c r="C75" s="215">
        <v>43831</v>
      </c>
      <c r="D75" s="216">
        <v>2</v>
      </c>
      <c r="E75" s="217">
        <v>3173025.8928571399</v>
      </c>
      <c r="F75" s="217">
        <v>13158974.107142899</v>
      </c>
      <c r="G75" s="217">
        <v>16332000</v>
      </c>
      <c r="H75" s="218">
        <v>3660</v>
      </c>
    </row>
    <row r="76" spans="1:8" ht="9" hidden="1" customHeight="1">
      <c r="A76" s="219"/>
      <c r="B76" s="220"/>
      <c r="C76" s="215">
        <v>43862</v>
      </c>
      <c r="D76" s="216">
        <v>1</v>
      </c>
      <c r="E76" s="217">
        <v>90000</v>
      </c>
      <c r="F76" s="217">
        <v>1338000</v>
      </c>
      <c r="G76" s="217">
        <v>1428000</v>
      </c>
      <c r="H76" s="218">
        <v>300</v>
      </c>
    </row>
    <row r="77" spans="1:8" ht="9" hidden="1" customHeight="1">
      <c r="A77" s="219"/>
      <c r="B77" s="214">
        <v>43831</v>
      </c>
      <c r="C77" s="221"/>
      <c r="D77" s="216">
        <v>3</v>
      </c>
      <c r="E77" s="217">
        <v>3263025.8928571399</v>
      </c>
      <c r="F77" s="217">
        <v>14496974.107142899</v>
      </c>
      <c r="G77" s="217">
        <v>17760000</v>
      </c>
      <c r="H77" s="218">
        <v>3960</v>
      </c>
    </row>
    <row r="78" spans="1:8" ht="9" hidden="1" customHeight="1">
      <c r="A78" s="219"/>
      <c r="B78" s="214">
        <v>44105</v>
      </c>
      <c r="C78" s="215">
        <v>44105</v>
      </c>
      <c r="D78" s="216">
        <v>3</v>
      </c>
      <c r="E78" s="217">
        <v>7179112.7142857099</v>
      </c>
      <c r="F78" s="217">
        <v>11837247.2857143</v>
      </c>
      <c r="G78" s="217">
        <v>19016360</v>
      </c>
      <c r="H78" s="218">
        <v>3860</v>
      </c>
    </row>
    <row r="79" spans="1:8" ht="9" hidden="1" customHeight="1">
      <c r="A79" s="219"/>
      <c r="B79" s="220"/>
      <c r="C79" s="215">
        <v>44136</v>
      </c>
      <c r="D79" s="216">
        <v>2</v>
      </c>
      <c r="E79" s="217">
        <v>4584000</v>
      </c>
      <c r="F79" s="217">
        <v>3922500</v>
      </c>
      <c r="G79" s="217">
        <v>8506500</v>
      </c>
      <c r="H79" s="218">
        <v>1640</v>
      </c>
    </row>
    <row r="80" spans="1:8" ht="9" hidden="1" customHeight="1">
      <c r="A80" s="219"/>
      <c r="B80" s="220"/>
      <c r="C80" s="215">
        <v>44166</v>
      </c>
      <c r="D80" s="216">
        <v>1</v>
      </c>
      <c r="E80" s="217">
        <v>317920</v>
      </c>
      <c r="F80" s="217">
        <v>3826080</v>
      </c>
      <c r="G80" s="217">
        <v>4144000</v>
      </c>
      <c r="H80" s="218">
        <v>740</v>
      </c>
    </row>
    <row r="81" spans="1:8" ht="9" hidden="1" customHeight="1">
      <c r="A81" s="219"/>
      <c r="B81" s="214">
        <v>44105</v>
      </c>
      <c r="C81" s="221"/>
      <c r="D81" s="216">
        <v>6</v>
      </c>
      <c r="E81" s="217">
        <v>12081032.7142857</v>
      </c>
      <c r="F81" s="217">
        <v>19585827.285714298</v>
      </c>
      <c r="G81" s="217">
        <v>31666860</v>
      </c>
      <c r="H81" s="218">
        <v>6240</v>
      </c>
    </row>
    <row r="82" spans="1:8" ht="13.25" customHeight="1">
      <c r="A82" s="213">
        <v>43831</v>
      </c>
      <c r="B82" s="220"/>
      <c r="C82" s="221"/>
      <c r="D82" s="216">
        <v>9</v>
      </c>
      <c r="E82" s="217">
        <v>15344058.607142899</v>
      </c>
      <c r="F82" s="217">
        <v>34082801.392857201</v>
      </c>
      <c r="G82" s="217">
        <v>49426860</v>
      </c>
      <c r="H82" s="218">
        <v>10200</v>
      </c>
    </row>
    <row r="83" spans="1:8" ht="8.5" hidden="1" customHeight="1">
      <c r="A83" s="213">
        <v>44197</v>
      </c>
      <c r="B83" s="214">
        <v>43831</v>
      </c>
      <c r="C83" s="215">
        <v>43831</v>
      </c>
      <c r="D83" s="216">
        <v>1</v>
      </c>
      <c r="E83" s="217">
        <v>4897500</v>
      </c>
      <c r="F83" s="217">
        <v>7500000</v>
      </c>
      <c r="G83" s="217">
        <v>12397500</v>
      </c>
      <c r="H83" s="218">
        <v>2755</v>
      </c>
    </row>
    <row r="84" spans="1:8" ht="8.5" hidden="1" customHeight="1">
      <c r="A84" s="219"/>
      <c r="B84" s="220"/>
      <c r="C84" s="215">
        <v>43891</v>
      </c>
      <c r="D84" s="216">
        <v>3</v>
      </c>
      <c r="E84" s="217">
        <v>11185015.178571399</v>
      </c>
      <c r="F84" s="217">
        <v>6721984.82142857</v>
      </c>
      <c r="G84" s="217">
        <v>17907000</v>
      </c>
      <c r="H84" s="218">
        <v>4195</v>
      </c>
    </row>
    <row r="85" spans="1:8" ht="15" customHeight="1">
      <c r="A85" s="222"/>
      <c r="B85" s="214">
        <v>43831</v>
      </c>
      <c r="C85" s="221"/>
      <c r="D85" s="216">
        <v>4</v>
      </c>
      <c r="E85" s="217">
        <v>16082515.178571399</v>
      </c>
      <c r="F85" s="217">
        <v>14221984.821428601</v>
      </c>
      <c r="G85" s="217">
        <v>30304500</v>
      </c>
      <c r="H85" s="218">
        <v>6950</v>
      </c>
    </row>
    <row r="86" spans="1:8" ht="8.5" hidden="1" customHeight="1">
      <c r="A86" s="223"/>
      <c r="B86" s="214">
        <v>43922</v>
      </c>
      <c r="C86" s="215">
        <v>43952</v>
      </c>
      <c r="D86" s="216">
        <v>1</v>
      </c>
      <c r="E86" s="217">
        <v>56278.571428571398</v>
      </c>
      <c r="F86" s="217">
        <v>1428571.42857143</v>
      </c>
      <c r="G86" s="217">
        <v>1484850</v>
      </c>
      <c r="H86" s="218">
        <v>150</v>
      </c>
    </row>
    <row r="87" spans="1:8" ht="8.5" hidden="1" customHeight="1">
      <c r="A87" s="223"/>
      <c r="B87" s="220"/>
      <c r="C87" s="215">
        <v>43983</v>
      </c>
      <c r="D87" s="216">
        <v>1</v>
      </c>
      <c r="E87" s="217">
        <v>6500000</v>
      </c>
      <c r="F87" s="217">
        <v>2500000</v>
      </c>
      <c r="G87" s="217">
        <v>9000000</v>
      </c>
      <c r="H87" s="218">
        <v>1800</v>
      </c>
    </row>
    <row r="88" spans="1:8" ht="15" customHeight="1">
      <c r="A88" s="223"/>
      <c r="B88" s="214">
        <v>43922</v>
      </c>
      <c r="C88" s="221"/>
      <c r="D88" s="216">
        <v>2</v>
      </c>
      <c r="E88" s="217">
        <v>6556278.57142857</v>
      </c>
      <c r="F88" s="217">
        <v>3928571.42857143</v>
      </c>
      <c r="G88" s="217">
        <v>10484850</v>
      </c>
      <c r="H88" s="218">
        <v>1950</v>
      </c>
    </row>
    <row r="89" spans="1:8" ht="8.5" hidden="1" customHeight="1">
      <c r="A89" s="223"/>
      <c r="B89" s="214">
        <v>44013</v>
      </c>
      <c r="C89" s="215">
        <v>44075</v>
      </c>
      <c r="D89" s="216">
        <v>5</v>
      </c>
      <c r="E89" s="217">
        <v>19798140.142857101</v>
      </c>
      <c r="F89" s="217">
        <v>8510859.8571428601</v>
      </c>
      <c r="G89" s="217">
        <v>28309000</v>
      </c>
      <c r="H89" s="218">
        <v>6335</v>
      </c>
    </row>
    <row r="90" spans="1:8" ht="15" customHeight="1">
      <c r="A90" s="223"/>
      <c r="B90" s="214">
        <v>44013</v>
      </c>
      <c r="C90" s="221"/>
      <c r="D90" s="216">
        <v>5</v>
      </c>
      <c r="E90" s="217">
        <v>19798140.142857101</v>
      </c>
      <c r="F90" s="217">
        <v>8510859.8571428601</v>
      </c>
      <c r="G90" s="217">
        <v>28309000</v>
      </c>
      <c r="H90" s="218">
        <v>6335</v>
      </c>
    </row>
    <row r="91" spans="1:8" ht="8.5" hidden="1" customHeight="1">
      <c r="A91" s="223"/>
      <c r="B91" s="214">
        <v>44105</v>
      </c>
      <c r="C91" s="215">
        <v>44105</v>
      </c>
      <c r="D91" s="216">
        <v>3</v>
      </c>
      <c r="E91" s="217">
        <v>5131910.7142857099</v>
      </c>
      <c r="F91" s="217">
        <v>5389589.2857142901</v>
      </c>
      <c r="G91" s="217">
        <v>10521500</v>
      </c>
      <c r="H91" s="218">
        <v>2330</v>
      </c>
    </row>
    <row r="92" spans="1:8" ht="8.5" hidden="1" customHeight="1">
      <c r="A92" s="223"/>
      <c r="B92" s="220"/>
      <c r="C92" s="215">
        <v>44136</v>
      </c>
      <c r="D92" s="216">
        <v>4</v>
      </c>
      <c r="E92" s="217">
        <v>17403404.464285702</v>
      </c>
      <c r="F92" s="217">
        <v>21091345.535714298</v>
      </c>
      <c r="G92" s="217">
        <v>38494750</v>
      </c>
      <c r="H92" s="218">
        <v>6230</v>
      </c>
    </row>
    <row r="93" spans="1:8" ht="15.25" customHeight="1">
      <c r="A93" s="223"/>
      <c r="B93" s="214">
        <v>44105</v>
      </c>
      <c r="C93" s="221"/>
      <c r="D93" s="216">
        <v>7</v>
      </c>
      <c r="E93" s="217">
        <v>22535315.178571399</v>
      </c>
      <c r="F93" s="217">
        <v>26480934.821428601</v>
      </c>
      <c r="G93" s="217">
        <v>49016250</v>
      </c>
      <c r="H93" s="218">
        <v>8560</v>
      </c>
    </row>
    <row r="94" spans="1:8" ht="13.5" customHeight="1">
      <c r="A94" s="224">
        <v>44197</v>
      </c>
      <c r="B94" s="220"/>
      <c r="C94" s="221"/>
      <c r="D94" s="216">
        <v>18</v>
      </c>
      <c r="E94" s="217">
        <v>64972249.071428597</v>
      </c>
      <c r="F94" s="217">
        <v>53142350.928571403</v>
      </c>
      <c r="G94" s="217">
        <v>118114600</v>
      </c>
      <c r="H94" s="218">
        <v>23795</v>
      </c>
    </row>
    <row r="95" spans="1:8" ht="9" hidden="1" customHeight="1">
      <c r="A95" s="213">
        <v>44562</v>
      </c>
      <c r="B95" s="214">
        <v>43831</v>
      </c>
      <c r="C95" s="215">
        <v>43831</v>
      </c>
      <c r="D95" s="216">
        <v>6</v>
      </c>
      <c r="E95" s="217">
        <v>20433457.142857201</v>
      </c>
      <c r="F95" s="217">
        <v>14501542.857142899</v>
      </c>
      <c r="G95" s="217">
        <v>34935000</v>
      </c>
      <c r="H95" s="218">
        <v>7210</v>
      </c>
    </row>
    <row r="96" spans="1:8" ht="9" hidden="1" customHeight="1">
      <c r="A96" s="219"/>
      <c r="B96" s="220"/>
      <c r="C96" s="215">
        <v>43862</v>
      </c>
      <c r="D96" s="216">
        <v>11</v>
      </c>
      <c r="E96" s="217">
        <v>23778039.428571399</v>
      </c>
      <c r="F96" s="217">
        <v>21567460.571428601</v>
      </c>
      <c r="G96" s="217">
        <v>45345500</v>
      </c>
      <c r="H96" s="218">
        <v>10840</v>
      </c>
    </row>
    <row r="97" spans="1:8" ht="9" hidden="1" customHeight="1">
      <c r="A97" s="219"/>
      <c r="B97" s="214">
        <v>43831</v>
      </c>
      <c r="C97" s="221"/>
      <c r="D97" s="216">
        <v>17</v>
      </c>
      <c r="E97" s="217">
        <v>44211496.571428597</v>
      </c>
      <c r="F97" s="217">
        <v>36069003.428571403</v>
      </c>
      <c r="G97" s="217">
        <v>80280500</v>
      </c>
      <c r="H97" s="218">
        <v>18050</v>
      </c>
    </row>
    <row r="98" spans="1:8" ht="13.5" customHeight="1">
      <c r="A98" s="231">
        <v>44562</v>
      </c>
      <c r="B98" s="226"/>
      <c r="C98" s="227"/>
      <c r="D98" s="228">
        <v>17</v>
      </c>
      <c r="E98" s="229">
        <v>44211496.571428597</v>
      </c>
      <c r="F98" s="229">
        <v>36069003.428571403</v>
      </c>
      <c r="G98" s="229">
        <v>80280500</v>
      </c>
      <c r="H98" s="230">
        <v>18050</v>
      </c>
    </row>
    <row r="99" spans="1:8" ht="15.25" customHeight="1">
      <c r="A99" s="201" t="s">
        <v>305</v>
      </c>
      <c r="B99" s="202"/>
      <c r="C99" s="203"/>
      <c r="D99" s="204">
        <v>288</v>
      </c>
      <c r="E99" s="205">
        <v>551413876.80288804</v>
      </c>
      <c r="F99" s="205">
        <v>794798993.19711196</v>
      </c>
      <c r="G99" s="205">
        <v>1346212870</v>
      </c>
      <c r="H99" s="206">
        <v>256050</v>
      </c>
    </row>
  </sheetData>
  <mergeCells count="1">
    <mergeCell ref="A1:H1"/>
  </mergeCells>
  <pageMargins left="0.7" right="0.7" top="0.75" bottom="0.75" header="0.3" footer="0.3"/>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4"/>
  <sheetViews>
    <sheetView showGridLines="0" workbookViewId="0"/>
  </sheetViews>
  <sheetFormatPr baseColWidth="10" defaultColWidth="13.33203125" defaultRowHeight="17.5" customHeight="1"/>
  <cols>
    <col min="1" max="6" width="13.33203125" style="4" customWidth="1"/>
    <col min="7" max="16384" width="13.33203125" style="4"/>
  </cols>
  <sheetData>
    <row r="1" spans="1:5" ht="12.25" customHeight="1">
      <c r="A1" s="431" t="s">
        <v>16</v>
      </c>
      <c r="B1" s="432"/>
      <c r="C1" s="432"/>
      <c r="D1" s="432"/>
      <c r="E1" s="433"/>
    </row>
    <row r="2" spans="1:5" ht="15.25" customHeight="1">
      <c r="A2" s="232" t="s">
        <v>325</v>
      </c>
      <c r="B2" s="189" t="s">
        <v>323</v>
      </c>
      <c r="C2" s="190" t="s">
        <v>321</v>
      </c>
      <c r="D2" s="190" t="s">
        <v>322</v>
      </c>
      <c r="E2" s="191" t="s">
        <v>326</v>
      </c>
    </row>
    <row r="3" spans="1:5" ht="15.25" customHeight="1">
      <c r="A3" s="233" t="s">
        <v>327</v>
      </c>
      <c r="B3" s="234">
        <v>11015</v>
      </c>
      <c r="C3" s="235">
        <v>38656248.428571403</v>
      </c>
      <c r="D3" s="235">
        <v>64284450</v>
      </c>
      <c r="E3" s="236">
        <v>11</v>
      </c>
    </row>
    <row r="4" spans="1:5" ht="15" customHeight="1">
      <c r="A4" s="237" t="s">
        <v>328</v>
      </c>
      <c r="B4" s="238">
        <v>10975</v>
      </c>
      <c r="C4" s="239">
        <v>34835773.026785702</v>
      </c>
      <c r="D4" s="239">
        <v>56156280</v>
      </c>
      <c r="E4" s="240">
        <v>12</v>
      </c>
    </row>
    <row r="5" spans="1:5" ht="15" customHeight="1">
      <c r="A5" s="237" t="s">
        <v>329</v>
      </c>
      <c r="B5" s="238">
        <v>9605</v>
      </c>
      <c r="C5" s="239">
        <v>28183297.214285702</v>
      </c>
      <c r="D5" s="239">
        <v>51081545</v>
      </c>
      <c r="E5" s="240">
        <v>10</v>
      </c>
    </row>
    <row r="6" spans="1:5" ht="15" customHeight="1">
      <c r="A6" s="237" t="s">
        <v>330</v>
      </c>
      <c r="B6" s="238">
        <v>8870</v>
      </c>
      <c r="C6" s="239">
        <v>40279458.928571403</v>
      </c>
      <c r="D6" s="239">
        <v>53782870</v>
      </c>
      <c r="E6" s="240">
        <v>10</v>
      </c>
    </row>
    <row r="7" spans="1:5" ht="15" customHeight="1">
      <c r="A7" s="237" t="s">
        <v>331</v>
      </c>
      <c r="B7" s="238">
        <v>14320</v>
      </c>
      <c r="C7" s="239">
        <v>65342550.035714298</v>
      </c>
      <c r="D7" s="239">
        <v>86556880</v>
      </c>
      <c r="E7" s="240">
        <v>14</v>
      </c>
    </row>
    <row r="8" spans="1:5" ht="15" customHeight="1">
      <c r="A8" s="237" t="s">
        <v>332</v>
      </c>
      <c r="B8" s="238">
        <v>11965</v>
      </c>
      <c r="C8" s="239">
        <v>42473540.285714298</v>
      </c>
      <c r="D8" s="239">
        <v>67003090</v>
      </c>
      <c r="E8" s="240">
        <v>13</v>
      </c>
    </row>
    <row r="9" spans="1:5" ht="15" customHeight="1">
      <c r="A9" s="237" t="s">
        <v>333</v>
      </c>
      <c r="B9" s="238">
        <v>7330</v>
      </c>
      <c r="C9" s="239">
        <v>23913670.142857101</v>
      </c>
      <c r="D9" s="239">
        <v>38736495</v>
      </c>
      <c r="E9" s="240">
        <v>10</v>
      </c>
    </row>
    <row r="10" spans="1:5" ht="15" customHeight="1">
      <c r="A10" s="237" t="s">
        <v>334</v>
      </c>
      <c r="B10" s="238">
        <v>6560</v>
      </c>
      <c r="C10" s="239">
        <v>21960202.821428601</v>
      </c>
      <c r="D10" s="239">
        <v>32528175</v>
      </c>
      <c r="E10" s="240">
        <v>9</v>
      </c>
    </row>
    <row r="11" spans="1:5" ht="15" customHeight="1">
      <c r="A11" s="237" t="s">
        <v>335</v>
      </c>
      <c r="B11" s="238">
        <v>6835</v>
      </c>
      <c r="C11" s="239">
        <v>14949950.892857101</v>
      </c>
      <c r="D11" s="239">
        <v>38282385</v>
      </c>
      <c r="E11" s="240">
        <v>7</v>
      </c>
    </row>
    <row r="12" spans="1:5" ht="15" customHeight="1">
      <c r="A12" s="237" t="s">
        <v>336</v>
      </c>
      <c r="B12" s="238">
        <v>10570</v>
      </c>
      <c r="C12" s="239">
        <v>33916865.785714298</v>
      </c>
      <c r="D12" s="239">
        <v>62247940</v>
      </c>
      <c r="E12" s="240">
        <v>11</v>
      </c>
    </row>
    <row r="13" spans="1:5" ht="15" customHeight="1">
      <c r="A13" s="237" t="s">
        <v>337</v>
      </c>
      <c r="B13" s="238">
        <v>13015</v>
      </c>
      <c r="C13" s="239">
        <v>41395412.5</v>
      </c>
      <c r="D13" s="239">
        <v>60787160</v>
      </c>
      <c r="E13" s="240">
        <v>12</v>
      </c>
    </row>
    <row r="14" spans="1:5" ht="15" customHeight="1">
      <c r="A14" s="237" t="s">
        <v>338</v>
      </c>
      <c r="B14" s="238">
        <v>14290</v>
      </c>
      <c r="C14" s="239">
        <v>23373663.964285702</v>
      </c>
      <c r="D14" s="239">
        <v>68639535</v>
      </c>
      <c r="E14" s="240">
        <v>14</v>
      </c>
    </row>
    <row r="15" spans="1:5" ht="15" customHeight="1">
      <c r="A15" s="237" t="s">
        <v>339</v>
      </c>
      <c r="B15" s="238">
        <v>15480</v>
      </c>
      <c r="C15" s="239">
        <v>41306095.0988978</v>
      </c>
      <c r="D15" s="239">
        <v>80899620</v>
      </c>
      <c r="E15" s="240">
        <v>14</v>
      </c>
    </row>
    <row r="16" spans="1:5" ht="15" customHeight="1">
      <c r="A16" s="237" t="s">
        <v>340</v>
      </c>
      <c r="B16" s="238">
        <v>13295</v>
      </c>
      <c r="C16" s="239">
        <v>52179723.357142799</v>
      </c>
      <c r="D16" s="239">
        <v>70997635</v>
      </c>
      <c r="E16" s="240">
        <v>14</v>
      </c>
    </row>
    <row r="17" spans="1:5" ht="15" customHeight="1">
      <c r="A17" s="237" t="s">
        <v>341</v>
      </c>
      <c r="B17" s="238">
        <v>10210</v>
      </c>
      <c r="C17" s="239">
        <v>39757285.928571403</v>
      </c>
      <c r="D17" s="239">
        <v>47996250</v>
      </c>
      <c r="E17" s="240">
        <v>5</v>
      </c>
    </row>
    <row r="18" spans="1:5" ht="15" customHeight="1">
      <c r="A18" s="237" t="s">
        <v>342</v>
      </c>
      <c r="B18" s="238">
        <v>17600</v>
      </c>
      <c r="C18" s="239">
        <v>28278891.857142899</v>
      </c>
      <c r="D18" s="239">
        <v>79344000</v>
      </c>
      <c r="E18" s="240">
        <v>17</v>
      </c>
    </row>
    <row r="19" spans="1:5" ht="15" customHeight="1">
      <c r="A19" s="237" t="s">
        <v>343</v>
      </c>
      <c r="B19" s="238">
        <v>17275</v>
      </c>
      <c r="C19" s="239">
        <v>21923485.714285702</v>
      </c>
      <c r="D19" s="239">
        <v>75365000</v>
      </c>
      <c r="E19" s="240">
        <v>17</v>
      </c>
    </row>
    <row r="20" spans="1:5" ht="15" customHeight="1">
      <c r="A20" s="237" t="s">
        <v>344</v>
      </c>
      <c r="B20" s="238">
        <v>10995</v>
      </c>
      <c r="C20" s="239">
        <v>31913927.035714298</v>
      </c>
      <c r="D20" s="239">
        <v>52406250</v>
      </c>
      <c r="E20" s="240">
        <v>11</v>
      </c>
    </row>
    <row r="21" spans="1:5" ht="15" customHeight="1">
      <c r="A21" s="237" t="s">
        <v>345</v>
      </c>
      <c r="B21" s="238">
        <v>14290</v>
      </c>
      <c r="C21" s="239">
        <v>37465173.357142903</v>
      </c>
      <c r="D21" s="239">
        <v>70816650</v>
      </c>
      <c r="E21" s="240">
        <v>14</v>
      </c>
    </row>
    <row r="22" spans="1:5" ht="15" customHeight="1">
      <c r="A22" s="237" t="s">
        <v>346</v>
      </c>
      <c r="B22" s="238">
        <v>21625</v>
      </c>
      <c r="C22" s="239">
        <v>90142615.035714298</v>
      </c>
      <c r="D22" s="239">
        <v>132843250</v>
      </c>
      <c r="E22" s="240">
        <v>51</v>
      </c>
    </row>
    <row r="23" spans="1:5" ht="15.25" customHeight="1">
      <c r="A23" s="241" t="s">
        <v>347</v>
      </c>
      <c r="B23" s="242">
        <v>9930</v>
      </c>
      <c r="C23" s="243">
        <v>42551161.785714298</v>
      </c>
      <c r="D23" s="243">
        <v>55457410</v>
      </c>
      <c r="E23" s="244">
        <v>12</v>
      </c>
    </row>
    <row r="24" spans="1:5" ht="15.25" customHeight="1">
      <c r="A24" s="245" t="s">
        <v>305</v>
      </c>
      <c r="B24" s="204">
        <v>256050</v>
      </c>
      <c r="C24" s="205">
        <v>794798993.19711196</v>
      </c>
      <c r="D24" s="205">
        <v>1346212870</v>
      </c>
      <c r="E24" s="206">
        <v>288</v>
      </c>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7"/>
  <sheetViews>
    <sheetView showGridLines="0" topLeftCell="A3" workbookViewId="0"/>
  </sheetViews>
  <sheetFormatPr baseColWidth="10" defaultColWidth="8.83203125" defaultRowHeight="14.5" customHeight="1"/>
  <cols>
    <col min="1" max="1" width="13.1640625" style="4" customWidth="1"/>
    <col min="2" max="2" width="20" style="4" customWidth="1"/>
    <col min="3" max="3" width="25" style="4" customWidth="1"/>
    <col min="4" max="4" width="22.6640625" style="4" customWidth="1"/>
    <col min="5" max="5" width="18.33203125" style="4" customWidth="1"/>
    <col min="6" max="9" width="8.83203125" style="4" customWidth="1"/>
    <col min="10" max="16384" width="8.83203125" style="4"/>
  </cols>
  <sheetData>
    <row r="1" spans="1:8" ht="9" hidden="1" customHeight="1">
      <c r="A1" s="19"/>
      <c r="B1" s="19"/>
      <c r="C1" s="19"/>
      <c r="D1" s="19"/>
      <c r="E1" s="19"/>
      <c r="F1" s="19"/>
      <c r="G1" s="19"/>
      <c r="H1" s="19"/>
    </row>
    <row r="2" spans="1:8" ht="9" hidden="1" customHeight="1">
      <c r="A2" s="19"/>
      <c r="B2" s="19"/>
      <c r="C2" s="19"/>
      <c r="D2" s="19"/>
      <c r="E2" s="19"/>
      <c r="F2" s="19"/>
      <c r="G2" s="19"/>
      <c r="H2" s="19"/>
    </row>
    <row r="3" spans="1:8" ht="13.5" customHeight="1">
      <c r="A3" s="19"/>
      <c r="B3" s="19"/>
      <c r="C3" s="19"/>
      <c r="D3" s="19"/>
      <c r="E3" s="19"/>
      <c r="F3" s="19"/>
      <c r="G3" s="246"/>
      <c r="H3" s="19"/>
    </row>
    <row r="4" spans="1:8" ht="13.5" customHeight="1">
      <c r="A4" s="19"/>
      <c r="B4" s="19"/>
      <c r="C4" s="19"/>
      <c r="D4" s="19"/>
      <c r="E4" s="19"/>
      <c r="F4" s="19"/>
      <c r="G4" s="246"/>
      <c r="H4" s="246"/>
    </row>
    <row r="5" spans="1:8" ht="13.5" customHeight="1">
      <c r="A5" s="19"/>
      <c r="B5" s="19"/>
      <c r="C5" s="19"/>
      <c r="D5" s="19"/>
      <c r="E5" s="19"/>
      <c r="F5" s="19"/>
      <c r="G5" s="246"/>
      <c r="H5" s="246"/>
    </row>
    <row r="6" spans="1:8" ht="13.5" customHeight="1">
      <c r="A6" s="19"/>
      <c r="B6" s="19"/>
      <c r="C6" s="19"/>
      <c r="D6" s="19"/>
      <c r="E6" s="19"/>
      <c r="F6" s="19"/>
      <c r="G6" s="246"/>
      <c r="H6" s="246"/>
    </row>
    <row r="7" spans="1:8" ht="13.5" customHeight="1">
      <c r="A7" s="19"/>
      <c r="B7" s="19"/>
      <c r="C7" s="19"/>
      <c r="D7" s="19"/>
      <c r="E7" s="19"/>
      <c r="F7" s="19"/>
      <c r="G7" s="246"/>
      <c r="H7" s="246"/>
    </row>
    <row r="8" spans="1:8" ht="13.5" customHeight="1">
      <c r="A8" s="19"/>
      <c r="B8" s="19"/>
      <c r="C8" s="19"/>
      <c r="D8" s="19"/>
      <c r="E8" s="19"/>
      <c r="F8" s="19"/>
      <c r="G8" s="246"/>
      <c r="H8" s="246"/>
    </row>
    <row r="9" spans="1:8" ht="13.5" customHeight="1">
      <c r="A9" s="19"/>
      <c r="B9" s="19"/>
      <c r="C9" s="19"/>
      <c r="D9" s="19"/>
      <c r="E9" s="19"/>
      <c r="F9" s="19"/>
      <c r="G9" s="246"/>
      <c r="H9" s="246"/>
    </row>
    <row r="10" spans="1:8" ht="13.5" customHeight="1">
      <c r="A10" s="19"/>
      <c r="B10" s="19"/>
      <c r="C10" s="19"/>
      <c r="D10" s="19"/>
      <c r="E10" s="19"/>
      <c r="F10" s="19"/>
      <c r="G10" s="246"/>
      <c r="H10" s="246"/>
    </row>
    <row r="11" spans="1:8" ht="13.5" customHeight="1">
      <c r="A11" s="19"/>
      <c r="B11" s="19"/>
      <c r="C11" s="19"/>
      <c r="D11" s="19"/>
      <c r="E11" s="19"/>
      <c r="F11" s="19"/>
      <c r="G11" s="246"/>
      <c r="H11" s="246"/>
    </row>
    <row r="12" spans="1:8" ht="13.5" customHeight="1">
      <c r="A12" s="19"/>
      <c r="B12" s="19"/>
      <c r="C12" s="19"/>
      <c r="D12" s="19"/>
      <c r="E12" s="19"/>
      <c r="F12" s="19"/>
      <c r="G12" s="246"/>
      <c r="H12" s="246"/>
    </row>
    <row r="13" spans="1:8" ht="13.5" customHeight="1">
      <c r="A13" s="19"/>
      <c r="B13" s="19"/>
      <c r="C13" s="19"/>
      <c r="D13" s="19"/>
      <c r="E13" s="19"/>
      <c r="F13" s="19"/>
      <c r="G13" s="246" t="e">
        <f>GETPIVOTDATA("Total vlue of Flat",'Sheet8 - Table 1'!$A$2,"Floor No","21th")/10000000</f>
        <v>#REF!</v>
      </c>
      <c r="H13" s="246" t="e">
        <f>GETPIVOTDATA(" Amount Received  ",'Sheet8 - Table 1'!$A$2,"Floor No","21th")/10000000</f>
        <v>#REF!</v>
      </c>
    </row>
    <row r="14" spans="1:8" ht="13.5" customHeight="1">
      <c r="A14" s="19"/>
      <c r="B14" s="19"/>
      <c r="C14" s="19"/>
      <c r="D14" s="19"/>
      <c r="E14" s="19"/>
      <c r="F14" s="19"/>
      <c r="G14" s="246" t="e">
        <f>GETPIVOTDATA("Total vlue of Flat",'Sheet8 - Table 1'!$A$2,"Floor No","22nd")/10000000</f>
        <v>#REF!</v>
      </c>
      <c r="H14" s="246" t="e">
        <f>GETPIVOTDATA(" Amount Received  ",'Sheet8 - Table 1'!$A$2,"Floor No","22nd")/10000000</f>
        <v>#REF!</v>
      </c>
    </row>
    <row r="15" spans="1:8" ht="13.5" customHeight="1">
      <c r="A15" s="19"/>
      <c r="B15" s="19"/>
      <c r="C15" s="19"/>
      <c r="D15" s="19"/>
      <c r="E15" s="19"/>
      <c r="F15" s="19"/>
      <c r="G15" s="246" t="e">
        <f>GETPIVOTDATA("Total vlue of Flat",'Sheet8 - Table 1'!$A$2,"Floor No","23rd")/10000000</f>
        <v>#REF!</v>
      </c>
      <c r="H15" s="246" t="e">
        <f>GETPIVOTDATA(" Amount Received  ",'Sheet8 - Table 1'!$A$2,"Floor No","23rd")/10000000</f>
        <v>#REF!</v>
      </c>
    </row>
    <row r="16" spans="1:8" ht="13.5" customHeight="1">
      <c r="A16" s="19"/>
      <c r="B16" s="19"/>
      <c r="C16" s="19"/>
      <c r="D16" s="19"/>
      <c r="E16" s="19"/>
      <c r="F16" s="19"/>
      <c r="G16" s="246" t="e">
        <f>GETPIVOTDATA("Total vlue of Flat",'Sheet8 - Table 1'!$A$2,"Floor No","24th")/10000000</f>
        <v>#REF!</v>
      </c>
      <c r="H16" s="246" t="e">
        <f>GETPIVOTDATA(" Amount Received  ",'Sheet8 - Table 1'!$A$2,"Floor No","24th")/10000000</f>
        <v>#REF!</v>
      </c>
    </row>
    <row r="17" spans="1:8" ht="13.5" customHeight="1">
      <c r="A17" s="19"/>
      <c r="B17" s="19"/>
      <c r="C17" s="19"/>
      <c r="D17" s="19"/>
      <c r="E17" s="19"/>
      <c r="F17" s="19"/>
      <c r="G17" s="246" t="e">
        <f>GETPIVOTDATA("Total vlue of Flat",'Sheet8 - Table 1'!$A$2,"Floor No","25th")/10000000</f>
        <v>#REF!</v>
      </c>
      <c r="H17" s="246" t="e">
        <f>GETPIVOTDATA(" Amount Received  ",'Sheet8 - Table 1'!$A$2,"Floor No","25th")/10000000</f>
        <v>#REF!</v>
      </c>
    </row>
  </sheetData>
  <pageMargins left="0.7" right="0.7" top="0.75" bottom="0.75" header="0.3" footer="0.3"/>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5"/>
  <sheetViews>
    <sheetView showGridLines="0" workbookViewId="0"/>
  </sheetViews>
  <sheetFormatPr baseColWidth="10" defaultColWidth="13.33203125" defaultRowHeight="17.5" customHeight="1"/>
  <cols>
    <col min="1" max="6" width="13.33203125" style="4" customWidth="1"/>
    <col min="7" max="16384" width="13.33203125" style="4"/>
  </cols>
  <sheetData>
    <row r="1" spans="1:5" ht="12.25" customHeight="1">
      <c r="A1" s="431" t="s">
        <v>16</v>
      </c>
      <c r="B1" s="432"/>
      <c r="C1" s="432"/>
      <c r="D1" s="432"/>
      <c r="E1" s="433"/>
    </row>
    <row r="2" spans="1:5" ht="15.25" customHeight="1">
      <c r="A2" s="232" t="s">
        <v>325</v>
      </c>
      <c r="B2" s="189" t="s">
        <v>319</v>
      </c>
      <c r="C2" s="190" t="s">
        <v>323</v>
      </c>
      <c r="D2" s="190" t="s">
        <v>322</v>
      </c>
      <c r="E2" s="191" t="s">
        <v>321</v>
      </c>
    </row>
    <row r="3" spans="1:5" ht="15.25" customHeight="1">
      <c r="A3" s="233" t="s">
        <v>327</v>
      </c>
      <c r="B3" s="234">
        <v>11</v>
      </c>
      <c r="C3" s="235">
        <v>11535</v>
      </c>
      <c r="D3" s="235">
        <v>64284450</v>
      </c>
      <c r="E3" s="236">
        <v>38332499.428571403</v>
      </c>
    </row>
    <row r="4" spans="1:5" ht="15" customHeight="1">
      <c r="A4" s="237" t="s">
        <v>328</v>
      </c>
      <c r="B4" s="238">
        <v>13</v>
      </c>
      <c r="C4" s="239">
        <v>12290</v>
      </c>
      <c r="D4" s="239">
        <v>61547780</v>
      </c>
      <c r="E4" s="240">
        <v>40227273.026785702</v>
      </c>
    </row>
    <row r="5" spans="1:5" ht="15" customHeight="1">
      <c r="A5" s="237" t="s">
        <v>329</v>
      </c>
      <c r="B5" s="238">
        <v>10</v>
      </c>
      <c r="C5" s="239">
        <v>9605</v>
      </c>
      <c r="D5" s="239">
        <v>51081545</v>
      </c>
      <c r="E5" s="240">
        <v>28183297.214285702</v>
      </c>
    </row>
    <row r="6" spans="1:5" ht="15" customHeight="1">
      <c r="A6" s="237" t="s">
        <v>330</v>
      </c>
      <c r="B6" s="238">
        <v>10</v>
      </c>
      <c r="C6" s="239">
        <v>8870</v>
      </c>
      <c r="D6" s="239">
        <v>53782870</v>
      </c>
      <c r="E6" s="240">
        <v>38732825.892857097</v>
      </c>
    </row>
    <row r="7" spans="1:5" ht="15" customHeight="1">
      <c r="A7" s="237" t="s">
        <v>331</v>
      </c>
      <c r="B7" s="238">
        <v>14</v>
      </c>
      <c r="C7" s="239">
        <v>14390</v>
      </c>
      <c r="D7" s="239">
        <v>86556880</v>
      </c>
      <c r="E7" s="240">
        <v>66649511.5</v>
      </c>
    </row>
    <row r="8" spans="1:5" ht="15" customHeight="1">
      <c r="A8" s="237" t="s">
        <v>332</v>
      </c>
      <c r="B8" s="238">
        <v>13</v>
      </c>
      <c r="C8" s="239">
        <v>11965</v>
      </c>
      <c r="D8" s="239">
        <v>67003090</v>
      </c>
      <c r="E8" s="240">
        <v>42473540.285714298</v>
      </c>
    </row>
    <row r="9" spans="1:5" ht="15" customHeight="1">
      <c r="A9" s="237" t="s">
        <v>333</v>
      </c>
      <c r="B9" s="238">
        <v>12</v>
      </c>
      <c r="C9" s="239">
        <v>12115</v>
      </c>
      <c r="D9" s="239">
        <v>57760495</v>
      </c>
      <c r="E9" s="240">
        <v>31913670.142857101</v>
      </c>
    </row>
    <row r="10" spans="1:5" ht="15" customHeight="1">
      <c r="A10" s="237" t="s">
        <v>334</v>
      </c>
      <c r="B10" s="238">
        <v>10</v>
      </c>
      <c r="C10" s="239">
        <v>8880</v>
      </c>
      <c r="D10" s="239">
        <v>44083445</v>
      </c>
      <c r="E10" s="240">
        <v>23420202.821428601</v>
      </c>
    </row>
    <row r="11" spans="1:5" ht="15" customHeight="1">
      <c r="A11" s="237" t="s">
        <v>335</v>
      </c>
      <c r="B11" s="238">
        <v>8</v>
      </c>
      <c r="C11" s="239">
        <v>8880</v>
      </c>
      <c r="D11" s="239">
        <v>44340615</v>
      </c>
      <c r="E11" s="240">
        <v>15949950.892857101</v>
      </c>
    </row>
    <row r="12" spans="1:5" ht="15" customHeight="1">
      <c r="A12" s="237" t="s">
        <v>336</v>
      </c>
      <c r="B12" s="238">
        <v>11</v>
      </c>
      <c r="C12" s="239">
        <v>10680</v>
      </c>
      <c r="D12" s="239">
        <v>62247940</v>
      </c>
      <c r="E12" s="240">
        <v>33916865.785714298</v>
      </c>
    </row>
    <row r="13" spans="1:5" ht="15" customHeight="1">
      <c r="A13" s="237" t="s">
        <v>337</v>
      </c>
      <c r="B13" s="238">
        <v>12</v>
      </c>
      <c r="C13" s="239">
        <v>13015</v>
      </c>
      <c r="D13" s="239">
        <v>60787160</v>
      </c>
      <c r="E13" s="240">
        <v>41395412.5</v>
      </c>
    </row>
    <row r="14" spans="1:5" ht="15" customHeight="1">
      <c r="A14" s="237" t="s">
        <v>338</v>
      </c>
      <c r="B14" s="238">
        <v>13</v>
      </c>
      <c r="C14" s="239">
        <v>13830</v>
      </c>
      <c r="D14" s="239">
        <v>66405035</v>
      </c>
      <c r="E14" s="240">
        <v>23173663.964285702</v>
      </c>
    </row>
    <row r="15" spans="1:5" ht="15" customHeight="1">
      <c r="A15" s="237" t="s">
        <v>339</v>
      </c>
      <c r="B15" s="238">
        <v>13</v>
      </c>
      <c r="C15" s="239">
        <v>12725</v>
      </c>
      <c r="D15" s="239">
        <v>68502120</v>
      </c>
      <c r="E15" s="240">
        <v>33315946.0988978</v>
      </c>
    </row>
    <row r="16" spans="1:5" ht="15" customHeight="1">
      <c r="A16" s="237" t="s">
        <v>340</v>
      </c>
      <c r="B16" s="238">
        <v>14</v>
      </c>
      <c r="C16" s="239">
        <v>13295</v>
      </c>
      <c r="D16" s="239">
        <v>70997635</v>
      </c>
      <c r="E16" s="240">
        <v>52179723.357142799</v>
      </c>
    </row>
    <row r="17" spans="1:5" ht="15" customHeight="1">
      <c r="A17" s="237" t="s">
        <v>341</v>
      </c>
      <c r="B17" s="238">
        <v>4</v>
      </c>
      <c r="C17" s="239">
        <v>2670</v>
      </c>
      <c r="D17" s="239">
        <v>17082250</v>
      </c>
      <c r="E17" s="240">
        <v>13558285.928571399</v>
      </c>
    </row>
    <row r="18" spans="1:5" ht="15" customHeight="1">
      <c r="A18" s="237" t="s">
        <v>342</v>
      </c>
      <c r="B18" s="238">
        <v>17</v>
      </c>
      <c r="C18" s="239">
        <v>17600</v>
      </c>
      <c r="D18" s="239">
        <v>79344000</v>
      </c>
      <c r="E18" s="240">
        <v>28278891.857142899</v>
      </c>
    </row>
    <row r="19" spans="1:5" ht="15" customHeight="1">
      <c r="A19" s="237" t="s">
        <v>350</v>
      </c>
      <c r="B19" s="238">
        <v>12</v>
      </c>
      <c r="C19" s="239">
        <v>11410</v>
      </c>
      <c r="D19" s="239">
        <v>66081585</v>
      </c>
      <c r="E19" s="240">
        <v>49444810</v>
      </c>
    </row>
    <row r="20" spans="1:5" ht="15" customHeight="1">
      <c r="A20" s="237" t="s">
        <v>343</v>
      </c>
      <c r="B20" s="238">
        <v>17</v>
      </c>
      <c r="C20" s="239">
        <v>17275</v>
      </c>
      <c r="D20" s="239">
        <v>75365000</v>
      </c>
      <c r="E20" s="240">
        <v>21923485.714285702</v>
      </c>
    </row>
    <row r="21" spans="1:5" ht="15" customHeight="1">
      <c r="A21" s="237" t="s">
        <v>344</v>
      </c>
      <c r="B21" s="238">
        <v>12</v>
      </c>
      <c r="C21" s="239">
        <v>11845</v>
      </c>
      <c r="D21" s="239">
        <v>58549200</v>
      </c>
      <c r="E21" s="240">
        <v>37824151.035714298</v>
      </c>
    </row>
    <row r="22" spans="1:5" ht="15" customHeight="1">
      <c r="A22" s="237" t="s">
        <v>345</v>
      </c>
      <c r="B22" s="238">
        <v>14</v>
      </c>
      <c r="C22" s="239">
        <v>14290</v>
      </c>
      <c r="D22" s="239">
        <v>70816650</v>
      </c>
      <c r="E22" s="240">
        <v>37465173.357142903</v>
      </c>
    </row>
    <row r="23" spans="1:5" ht="15" customHeight="1">
      <c r="A23" s="237" t="s">
        <v>346</v>
      </c>
      <c r="B23" s="238">
        <v>49</v>
      </c>
      <c r="C23" s="239">
        <v>14100</v>
      </c>
      <c r="D23" s="239">
        <v>100150750</v>
      </c>
      <c r="E23" s="240">
        <v>84787615.035714298</v>
      </c>
    </row>
    <row r="24" spans="1:5" ht="15.25" customHeight="1">
      <c r="A24" s="241" t="s">
        <v>347</v>
      </c>
      <c r="B24" s="242">
        <v>12</v>
      </c>
      <c r="C24" s="243">
        <v>9930</v>
      </c>
      <c r="D24" s="243">
        <v>55457410</v>
      </c>
      <c r="E24" s="244">
        <v>42317054.107142903</v>
      </c>
    </row>
    <row r="25" spans="1:5" ht="15.25" customHeight="1">
      <c r="A25" s="245" t="s">
        <v>305</v>
      </c>
      <c r="B25" s="204">
        <v>301</v>
      </c>
      <c r="C25" s="205">
        <v>261195</v>
      </c>
      <c r="D25" s="205">
        <v>1382227905</v>
      </c>
      <c r="E25" s="206">
        <v>825463849.94711196</v>
      </c>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1"/>
  <sheetViews>
    <sheetView showGridLines="0" workbookViewId="0"/>
  </sheetViews>
  <sheetFormatPr baseColWidth="10" defaultColWidth="13.33203125" defaultRowHeight="17.5" customHeight="1"/>
  <cols>
    <col min="1" max="6" width="13.33203125" style="4" customWidth="1"/>
    <col min="7" max="16384" width="13.33203125" style="4"/>
  </cols>
  <sheetData>
    <row r="1" spans="1:5" ht="12.25" customHeight="1">
      <c r="A1" s="434" t="s">
        <v>15</v>
      </c>
      <c r="B1" s="434"/>
      <c r="C1" s="434"/>
      <c r="D1" s="434"/>
      <c r="E1" s="434"/>
    </row>
    <row r="2" spans="1:5" ht="15.25" customHeight="1"/>
    <row r="3" spans="1:5" ht="15.25" customHeight="1">
      <c r="A3" s="247" t="s">
        <v>353</v>
      </c>
      <c r="B3" s="248" t="s">
        <v>354</v>
      </c>
      <c r="C3" s="249" t="s">
        <v>355</v>
      </c>
      <c r="D3" s="249" t="s">
        <v>356</v>
      </c>
      <c r="E3" s="250" t="s">
        <v>357</v>
      </c>
    </row>
    <row r="4" spans="1:5" ht="15.25" customHeight="1">
      <c r="A4" s="251" t="s">
        <v>358</v>
      </c>
      <c r="B4" s="252">
        <v>7</v>
      </c>
      <c r="C4" s="253">
        <v>46279480</v>
      </c>
      <c r="D4" s="253">
        <v>20574000</v>
      </c>
      <c r="E4" s="254">
        <v>12455</v>
      </c>
    </row>
    <row r="5" spans="1:5" ht="15" customHeight="1">
      <c r="A5" s="255" t="s">
        <v>341</v>
      </c>
      <c r="B5" s="256">
        <v>9</v>
      </c>
      <c r="C5" s="257">
        <v>66495408</v>
      </c>
      <c r="D5" s="257">
        <v>27859663</v>
      </c>
      <c r="E5" s="258">
        <v>17245</v>
      </c>
    </row>
    <row r="6" spans="1:5" ht="15" customHeight="1">
      <c r="A6" s="255" t="s">
        <v>342</v>
      </c>
      <c r="B6" s="256">
        <v>7</v>
      </c>
      <c r="C6" s="257">
        <v>50420911</v>
      </c>
      <c r="D6" s="257">
        <v>22815060</v>
      </c>
      <c r="E6" s="258">
        <v>13905</v>
      </c>
    </row>
    <row r="7" spans="1:5" ht="15" customHeight="1">
      <c r="A7" s="255" t="s">
        <v>350</v>
      </c>
      <c r="B7" s="256">
        <v>7</v>
      </c>
      <c r="C7" s="257">
        <v>43732092</v>
      </c>
      <c r="D7" s="257">
        <v>21153500</v>
      </c>
      <c r="E7" s="258">
        <v>13905</v>
      </c>
    </row>
    <row r="8" spans="1:5" ht="15" customHeight="1">
      <c r="A8" s="255" t="s">
        <v>343</v>
      </c>
      <c r="B8" s="256">
        <v>8</v>
      </c>
      <c r="C8" s="257">
        <v>56959351</v>
      </c>
      <c r="D8" s="257">
        <v>22129000</v>
      </c>
      <c r="E8" s="258">
        <v>15585</v>
      </c>
    </row>
    <row r="9" spans="1:5" ht="15" customHeight="1">
      <c r="A9" s="255" t="s">
        <v>344</v>
      </c>
      <c r="B9" s="256">
        <v>7</v>
      </c>
      <c r="C9" s="257">
        <v>54499868</v>
      </c>
      <c r="D9" s="257">
        <v>24564203</v>
      </c>
      <c r="E9" s="258">
        <v>13905</v>
      </c>
    </row>
    <row r="10" spans="1:5" ht="15.25" customHeight="1">
      <c r="A10" s="259" t="s">
        <v>345</v>
      </c>
      <c r="B10" s="260">
        <v>8</v>
      </c>
      <c r="C10" s="261">
        <v>60192725</v>
      </c>
      <c r="D10" s="261">
        <v>28037283</v>
      </c>
      <c r="E10" s="262">
        <v>15585</v>
      </c>
    </row>
    <row r="11" spans="1:5" ht="15.25" customHeight="1">
      <c r="A11" s="263" t="s">
        <v>305</v>
      </c>
      <c r="B11" s="264">
        <v>53</v>
      </c>
      <c r="C11" s="265">
        <v>378579835</v>
      </c>
      <c r="D11" s="265">
        <v>167132709</v>
      </c>
      <c r="E11" s="266">
        <v>102585</v>
      </c>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
  <sheetViews>
    <sheetView showGridLines="0" workbookViewId="0"/>
  </sheetViews>
  <sheetFormatPr baseColWidth="10" defaultColWidth="13.33203125" defaultRowHeight="17.5" customHeight="1"/>
  <cols>
    <col min="1" max="6" width="13.33203125" style="4" customWidth="1"/>
    <col min="7" max="16384" width="13.33203125" style="4"/>
  </cols>
  <sheetData>
    <row r="1" spans="1:5" ht="12.25" customHeight="1">
      <c r="A1" s="431" t="s">
        <v>15</v>
      </c>
      <c r="B1" s="432"/>
      <c r="C1" s="432"/>
      <c r="D1" s="432"/>
      <c r="E1" s="433"/>
    </row>
    <row r="2" spans="1:5" ht="15.25" customHeight="1">
      <c r="A2" s="267"/>
      <c r="B2" s="268"/>
      <c r="C2" s="268"/>
      <c r="D2" s="268"/>
      <c r="E2" s="269"/>
    </row>
    <row r="3" spans="1:5" ht="15.25" customHeight="1">
      <c r="A3" s="270"/>
      <c r="B3" s="271"/>
      <c r="C3" s="271"/>
      <c r="D3" s="271"/>
      <c r="E3" s="272"/>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topLeftCell="A3" workbookViewId="0"/>
  </sheetViews>
  <sheetFormatPr baseColWidth="10" defaultColWidth="8.83203125" defaultRowHeight="14.5" customHeight="1"/>
  <cols>
    <col min="1" max="1" width="13.1640625" style="4" customWidth="1"/>
    <col min="2" max="2" width="20.6640625" style="4" customWidth="1"/>
    <col min="3" max="3" width="17" style="4" customWidth="1"/>
    <col min="4" max="4" width="15.83203125" style="4" customWidth="1"/>
    <col min="5" max="5" width="11.6640625" style="4" customWidth="1"/>
    <col min="6" max="9" width="8.83203125" style="4" customWidth="1"/>
    <col min="10" max="16384" width="8.83203125" style="4"/>
  </cols>
  <sheetData>
    <row r="1" spans="1:8" ht="9" hidden="1" customHeight="1">
      <c r="A1" s="19"/>
      <c r="B1" s="19"/>
      <c r="C1" s="19"/>
      <c r="D1" s="19"/>
      <c r="E1" s="19"/>
      <c r="F1" s="19"/>
      <c r="G1" s="19"/>
      <c r="H1" s="19"/>
    </row>
    <row r="2" spans="1:8" ht="9" hidden="1" customHeight="1">
      <c r="A2" s="19"/>
      <c r="B2" s="19"/>
      <c r="C2" s="19"/>
      <c r="D2" s="19"/>
      <c r="E2" s="19"/>
      <c r="F2" s="19"/>
      <c r="G2" s="19"/>
      <c r="H2" s="19"/>
    </row>
    <row r="3" spans="1:8" ht="13.5" customHeight="1">
      <c r="A3" s="19"/>
      <c r="B3" s="19"/>
      <c r="C3" s="19"/>
      <c r="D3" s="19"/>
      <c r="E3" s="19"/>
      <c r="F3" s="19"/>
      <c r="G3" s="19"/>
      <c r="H3" s="19"/>
    </row>
    <row r="4" spans="1:8" ht="13.5" customHeight="1">
      <c r="A4" s="19"/>
      <c r="B4" s="19"/>
      <c r="C4" s="19"/>
      <c r="D4" s="19"/>
      <c r="E4" s="19"/>
      <c r="F4" s="19"/>
      <c r="G4" s="185" t="e">
        <f>GETPIVOTDATA(" 3",'Sheet10 - PivotTable1 - Table 1'!$A$4,"Floor","1st")/10000000</f>
        <v>#REF!</v>
      </c>
      <c r="H4" s="185" t="e">
        <f>GETPIVOTDATA(" 4",'Sheet10 - PivotTable1 - Table 1'!$A$4,"Floor","1st")/10000000</f>
        <v>#REF!</v>
      </c>
    </row>
    <row r="5" spans="1:8" ht="13.5" customHeight="1">
      <c r="A5" s="19"/>
      <c r="B5" s="19"/>
      <c r="C5" s="19"/>
      <c r="D5" s="19"/>
      <c r="E5" s="19"/>
      <c r="F5" s="19"/>
      <c r="G5" s="185" t="e">
        <f>GETPIVOTDATA(" 3",'Sheet10 - PivotTable1 - Table 1'!$A$4,"Floor","2nd")/10000000</f>
        <v>#REF!</v>
      </c>
      <c r="H5" s="185" t="e">
        <f>GETPIVOTDATA(" 4",'Sheet10 - PivotTable1 - Table 1'!$A$4,"Floor","2nd")/10000000</f>
        <v>#REF!</v>
      </c>
    </row>
    <row r="6" spans="1:8" ht="13.5" customHeight="1">
      <c r="A6" s="19"/>
      <c r="B6" s="19"/>
      <c r="C6" s="19"/>
      <c r="D6" s="19"/>
      <c r="E6" s="19"/>
      <c r="F6" s="19"/>
      <c r="G6" s="185" t="e">
        <f>GETPIVOTDATA(" 3",'Sheet10 - PivotTable1 - Table 1'!$A$4,"Floor","3rd")/10000000</f>
        <v>#REF!</v>
      </c>
      <c r="H6" s="185" t="e">
        <f>GETPIVOTDATA(" 4",'Sheet10 - PivotTable1 - Table 1'!$A$4,"Floor","3rd")/10000000</f>
        <v>#REF!</v>
      </c>
    </row>
    <row r="7" spans="1:8" ht="13.5" customHeight="1">
      <c r="A7" s="19"/>
      <c r="B7" s="19"/>
      <c r="C7" s="19"/>
      <c r="D7" s="19"/>
      <c r="E7" s="19"/>
      <c r="F7" s="19"/>
      <c r="G7" s="185" t="e">
        <f>GETPIVOTDATA(" 3",'Sheet10 - PivotTable1 - Table 1'!$A$4,"Floor","4th")/10000000</f>
        <v>#REF!</v>
      </c>
      <c r="H7" s="185" t="e">
        <f>GETPIVOTDATA(" 4",'Sheet10 - PivotTable1 - Table 1'!$A$4,"Floor","4th")/10000000</f>
        <v>#REF!</v>
      </c>
    </row>
    <row r="8" spans="1:8" ht="13.5" customHeight="1">
      <c r="A8" s="19"/>
      <c r="B8" s="19"/>
      <c r="C8" s="19"/>
      <c r="D8" s="19"/>
      <c r="E8" s="19"/>
      <c r="F8" s="19"/>
      <c r="G8" s="185" t="e">
        <f>GETPIVOTDATA(" 3",'Sheet10 - PivotTable1 - Table 1'!$A$4,"Floor","5th")/10000000</f>
        <v>#REF!</v>
      </c>
      <c r="H8" s="185" t="e">
        <f>GETPIVOTDATA(" 4",'Sheet10 - PivotTable1 - Table 1'!$A$4,"Floor","5th")/10000000</f>
        <v>#REF!</v>
      </c>
    </row>
    <row r="9" spans="1:8" ht="13.5" customHeight="1">
      <c r="A9" s="19"/>
      <c r="B9" s="19"/>
      <c r="C9" s="19"/>
      <c r="D9" s="19"/>
      <c r="E9" s="19"/>
      <c r="F9" s="19"/>
      <c r="G9" s="185" t="e">
        <f>GETPIVOTDATA(" 3",'Sheet10 - PivotTable1 - Table 1'!$A$4,"Floor","6th")/10000000</f>
        <v>#REF!</v>
      </c>
      <c r="H9" s="185" t="e">
        <f>GETPIVOTDATA(" 4",'Sheet10 - PivotTable1 - Table 1'!$A$4,"Floor","6th")/10000000</f>
        <v>#REF!</v>
      </c>
    </row>
    <row r="10" spans="1:8" ht="13.5" customHeight="1">
      <c r="A10" s="19"/>
      <c r="B10" s="19"/>
      <c r="C10" s="19"/>
      <c r="D10" s="19"/>
      <c r="E10" s="19"/>
      <c r="F10" s="19"/>
      <c r="G10" s="185" t="e">
        <f>GETPIVOTDATA(" 3",'Sheet10 - PivotTable1 - Table 1'!$A$4,"Floor","7th")/10000000</f>
        <v>#REF!</v>
      </c>
      <c r="H10" s="185" t="e">
        <f>GETPIVOTDATA(" 4",'Sheet10 - PivotTable1 - Table 1'!$A$4,"Floor","7th")/10000000</f>
        <v>#REF!</v>
      </c>
    </row>
  </sheetData>
  <pageMargins left="0.7" right="0.7" top="0.75" bottom="0.75" header="0.3" footer="0.3"/>
  <pageSetup orientation="portrait"/>
  <headerFooter>
    <oddFooter>&amp;C&amp;"Helvetica Neue,Regular"&amp;12&amp;K000000&amp;P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9"/>
  <sheetViews>
    <sheetView showGridLines="0" workbookViewId="0"/>
  </sheetViews>
  <sheetFormatPr baseColWidth="10" defaultColWidth="13.33203125" defaultRowHeight="17.5" customHeight="1"/>
  <cols>
    <col min="1" max="7" width="13.33203125" style="4" customWidth="1"/>
    <col min="8" max="16384" width="13.33203125" style="4"/>
  </cols>
  <sheetData>
    <row r="1" spans="1:6" ht="12.25" customHeight="1">
      <c r="A1" s="434" t="s">
        <v>16</v>
      </c>
      <c r="B1" s="434"/>
      <c r="C1" s="434"/>
      <c r="D1" s="434"/>
      <c r="E1" s="434"/>
      <c r="F1" s="434"/>
    </row>
    <row r="2" spans="1:6" ht="15.25" customHeight="1"/>
    <row r="3" spans="1:6" ht="15.25" customHeight="1">
      <c r="A3" s="247" t="s">
        <v>363</v>
      </c>
      <c r="B3" s="248" t="s">
        <v>354</v>
      </c>
      <c r="C3" s="249" t="s">
        <v>357</v>
      </c>
      <c r="D3" s="249" t="s">
        <v>364</v>
      </c>
      <c r="E3" s="249" t="s">
        <v>365</v>
      </c>
      <c r="F3" s="250" t="s">
        <v>366</v>
      </c>
    </row>
    <row r="4" spans="1:6" ht="15.25" customHeight="1">
      <c r="A4" s="273">
        <v>1</v>
      </c>
      <c r="B4" s="252">
        <v>5</v>
      </c>
      <c r="C4" s="253">
        <v>8431338</v>
      </c>
      <c r="D4" s="253">
        <v>8431339</v>
      </c>
      <c r="E4" s="253">
        <v>1324.66</v>
      </c>
      <c r="F4" s="254">
        <v>1</v>
      </c>
    </row>
    <row r="5" spans="1:6" ht="15" customHeight="1">
      <c r="A5" s="274">
        <v>2</v>
      </c>
      <c r="B5" s="256">
        <v>46</v>
      </c>
      <c r="C5" s="257">
        <v>61401218</v>
      </c>
      <c r="D5" s="257">
        <v>61614103</v>
      </c>
      <c r="E5" s="257">
        <v>11846.66</v>
      </c>
      <c r="F5" s="258">
        <v>4</v>
      </c>
    </row>
    <row r="6" spans="1:6" ht="15" customHeight="1">
      <c r="A6" s="274">
        <v>3</v>
      </c>
      <c r="B6" s="256">
        <v>97</v>
      </c>
      <c r="C6" s="257">
        <v>86455533.280000001</v>
      </c>
      <c r="D6" s="257">
        <v>89042357</v>
      </c>
      <c r="E6" s="257">
        <v>16901.439999999999</v>
      </c>
      <c r="F6" s="258">
        <v>3</v>
      </c>
    </row>
    <row r="7" spans="1:6" ht="15" customHeight="1">
      <c r="A7" s="255" t="s">
        <v>367</v>
      </c>
      <c r="B7" s="256">
        <v>35</v>
      </c>
      <c r="C7" s="257">
        <v>90217592.959999993</v>
      </c>
      <c r="D7" s="257">
        <v>93434825</v>
      </c>
      <c r="E7" s="257">
        <v>12198.25</v>
      </c>
      <c r="F7" s="258">
        <v>8</v>
      </c>
    </row>
    <row r="8" spans="1:6" ht="15.25" customHeight="1">
      <c r="A8" s="259" t="s">
        <v>368</v>
      </c>
      <c r="B8" s="260">
        <v>31</v>
      </c>
      <c r="C8" s="261">
        <v>77675123</v>
      </c>
      <c r="D8" s="261">
        <v>77679817</v>
      </c>
      <c r="E8" s="261">
        <v>11066.67</v>
      </c>
      <c r="F8" s="262">
        <v>4</v>
      </c>
    </row>
    <row r="9" spans="1:6" ht="15.25" customHeight="1">
      <c r="A9" s="263" t="s">
        <v>305</v>
      </c>
      <c r="B9" s="264">
        <v>214</v>
      </c>
      <c r="C9" s="265">
        <v>324180805.24000001</v>
      </c>
      <c r="D9" s="265">
        <v>330202441</v>
      </c>
      <c r="E9" s="265">
        <v>53337.68</v>
      </c>
      <c r="F9" s="266">
        <v>20</v>
      </c>
    </row>
  </sheetData>
  <mergeCells count="1">
    <mergeCell ref="A1:F1"/>
  </mergeCells>
  <pageMargins left="0.7" right="0.7" top="0.75" bottom="0.75" header="0.3" footer="0.3"/>
  <pageSetup orientation="portrait"/>
  <headerFooter>
    <oddFooter>&amp;C&amp;"Helvetica Neue,Regular"&amp;12&amp;K000000&amp;P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4"/>
  <sheetViews>
    <sheetView showGridLines="0" workbookViewId="0"/>
  </sheetViews>
  <sheetFormatPr baseColWidth="10" defaultColWidth="13.33203125" defaultRowHeight="17.5" customHeight="1"/>
  <cols>
    <col min="1" max="8" width="13.33203125" style="4" customWidth="1"/>
    <col min="9" max="16384" width="13.33203125" style="4"/>
  </cols>
  <sheetData>
    <row r="1" spans="1:7" ht="12.25" customHeight="1">
      <c r="A1" s="431" t="s">
        <v>16</v>
      </c>
      <c r="B1" s="432"/>
      <c r="C1" s="432"/>
      <c r="D1" s="432"/>
      <c r="E1" s="432"/>
      <c r="F1" s="432"/>
      <c r="G1" s="275"/>
    </row>
    <row r="2" spans="1:7" ht="15.25" customHeight="1">
      <c r="A2" s="267"/>
      <c r="B2" s="268"/>
      <c r="C2" s="268"/>
      <c r="D2" s="268"/>
      <c r="E2" s="268"/>
      <c r="F2" s="276"/>
      <c r="G2" s="277"/>
    </row>
    <row r="3" spans="1:7" ht="15.25" customHeight="1">
      <c r="A3" s="278"/>
      <c r="B3" s="279"/>
      <c r="C3" s="279"/>
      <c r="D3" s="279"/>
      <c r="E3" s="279"/>
      <c r="F3" s="280"/>
      <c r="G3" s="277"/>
    </row>
    <row r="4" spans="1:7" ht="15.25" customHeight="1">
      <c r="A4" s="278"/>
      <c r="B4" s="279"/>
      <c r="C4" s="279"/>
      <c r="D4" s="279"/>
      <c r="E4" s="279"/>
      <c r="F4" s="280"/>
      <c r="G4" s="277"/>
    </row>
    <row r="5" spans="1:7" ht="15" customHeight="1">
      <c r="A5" s="278"/>
      <c r="B5" s="279"/>
      <c r="C5" s="279"/>
      <c r="D5" s="279"/>
      <c r="E5" s="279"/>
      <c r="F5" s="280"/>
      <c r="G5" s="277"/>
    </row>
    <row r="6" spans="1:7" ht="15" customHeight="1">
      <c r="A6" s="278"/>
      <c r="B6" s="279"/>
      <c r="C6" s="279"/>
      <c r="D6" s="279"/>
      <c r="E6" s="279"/>
      <c r="F6" s="280"/>
      <c r="G6" s="277"/>
    </row>
    <row r="7" spans="1:7" ht="15" customHeight="1">
      <c r="A7" s="278"/>
      <c r="B7" s="279"/>
      <c r="C7" s="279"/>
      <c r="D7" s="279"/>
      <c r="E7" s="279"/>
      <c r="F7" s="280"/>
      <c r="G7" s="277"/>
    </row>
    <row r="8" spans="1:7" ht="15" customHeight="1">
      <c r="A8" s="278"/>
      <c r="B8" s="279"/>
      <c r="C8" s="279"/>
      <c r="D8" s="279"/>
      <c r="E8" s="279"/>
      <c r="F8" s="280"/>
      <c r="G8" s="277"/>
    </row>
    <row r="9" spans="1:7" ht="15" customHeight="1">
      <c r="A9" s="278"/>
      <c r="B9" s="279"/>
      <c r="C9" s="279"/>
      <c r="D9" s="279"/>
      <c r="E9" s="279"/>
      <c r="F9" s="280"/>
      <c r="G9" s="277"/>
    </row>
    <row r="10" spans="1:7" ht="15" customHeight="1">
      <c r="A10" s="278"/>
      <c r="B10" s="279"/>
      <c r="C10" s="279"/>
      <c r="D10" s="279"/>
      <c r="E10" s="279"/>
      <c r="F10" s="280"/>
      <c r="G10" s="277"/>
    </row>
    <row r="11" spans="1:7" ht="15" customHeight="1">
      <c r="A11" s="278"/>
      <c r="B11" s="279"/>
      <c r="C11" s="279"/>
      <c r="D11" s="279"/>
      <c r="E11" s="279"/>
      <c r="F11" s="280"/>
      <c r="G11" s="277"/>
    </row>
    <row r="12" spans="1:7" ht="15.25" customHeight="1">
      <c r="A12" s="278"/>
      <c r="B12" s="279"/>
      <c r="C12" s="279"/>
      <c r="D12" s="279"/>
      <c r="E12" s="279"/>
      <c r="F12" s="280"/>
      <c r="G12" s="277"/>
    </row>
    <row r="13" spans="1:7" ht="15.25" customHeight="1">
      <c r="A13" s="281"/>
      <c r="B13" s="282"/>
      <c r="C13" s="282"/>
      <c r="D13" s="282"/>
      <c r="E13" s="282"/>
      <c r="F13" s="283"/>
      <c r="G13" s="277"/>
    </row>
    <row r="14" spans="1:7" ht="13.5" customHeight="1">
      <c r="A14" s="284"/>
      <c r="B14" s="285"/>
      <c r="C14" s="285"/>
      <c r="D14" s="285"/>
      <c r="E14" s="285"/>
      <c r="F14" s="285"/>
      <c r="G14" s="272"/>
    </row>
  </sheetData>
  <mergeCells count="1">
    <mergeCell ref="A1:F1"/>
  </mergeCells>
  <pageMargins left="0.7" right="0.7" top="0.75" bottom="0.75" header="0.3" footer="0.3"/>
  <pageSetup orientation="portrait"/>
  <headerFooter>
    <oddFooter>&amp;C&amp;"Helvetica Neue,Regular"&amp;12&amp;K000000&amp;P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8"/>
  <sheetViews>
    <sheetView showGridLines="0" workbookViewId="0"/>
  </sheetViews>
  <sheetFormatPr baseColWidth="10" defaultColWidth="13.33203125" defaultRowHeight="17.5" customHeight="1"/>
  <cols>
    <col min="1" max="8" width="13.33203125" style="4" customWidth="1"/>
    <col min="9" max="16384" width="13.33203125" style="4"/>
  </cols>
  <sheetData>
    <row r="1" spans="1:7" ht="12.25" customHeight="1">
      <c r="A1" s="434" t="s">
        <v>17</v>
      </c>
      <c r="B1" s="434"/>
      <c r="C1" s="434"/>
      <c r="D1" s="434"/>
      <c r="E1" s="434"/>
      <c r="F1" s="434"/>
      <c r="G1" s="434"/>
    </row>
    <row r="2" spans="1:7" ht="15.25" customHeight="1"/>
    <row r="3" spans="1:7" ht="15.25" customHeight="1">
      <c r="A3" s="286" t="s">
        <v>372</v>
      </c>
      <c r="B3" s="287" t="s">
        <v>373</v>
      </c>
      <c r="C3" s="288" t="s">
        <v>374</v>
      </c>
      <c r="D3" s="248" t="s">
        <v>354</v>
      </c>
      <c r="E3" s="249" t="s">
        <v>357</v>
      </c>
      <c r="F3" s="249" t="s">
        <v>364</v>
      </c>
      <c r="G3" s="250" t="s">
        <v>365</v>
      </c>
    </row>
    <row r="4" spans="1:7" ht="15.25" customHeight="1">
      <c r="A4" s="289">
        <v>42370</v>
      </c>
      <c r="B4" s="290">
        <v>43922</v>
      </c>
      <c r="C4" s="291">
        <v>43952</v>
      </c>
      <c r="D4" s="252">
        <v>167</v>
      </c>
      <c r="E4" s="253">
        <v>245130236.24000001</v>
      </c>
      <c r="F4" s="253">
        <v>250528875</v>
      </c>
      <c r="G4" s="254">
        <v>40134.32</v>
      </c>
    </row>
    <row r="5" spans="1:7" ht="15" customHeight="1">
      <c r="C5" s="292">
        <v>43983</v>
      </c>
      <c r="D5" s="256">
        <v>47</v>
      </c>
      <c r="E5" s="257">
        <v>79050569</v>
      </c>
      <c r="F5" s="257">
        <v>79673566</v>
      </c>
      <c r="G5" s="258">
        <v>13203.36</v>
      </c>
    </row>
    <row r="6" spans="1:7" ht="15.25" customHeight="1">
      <c r="B6" s="293">
        <v>43922</v>
      </c>
      <c r="D6" s="294">
        <v>214</v>
      </c>
      <c r="E6" s="295">
        <v>324180805.24000001</v>
      </c>
      <c r="F6" s="295">
        <v>330202441</v>
      </c>
      <c r="G6" s="296">
        <v>53337.68</v>
      </c>
    </row>
    <row r="7" spans="1:7" ht="13.5" customHeight="1">
      <c r="A7" s="297">
        <v>42370</v>
      </c>
      <c r="D7" s="298">
        <v>214</v>
      </c>
      <c r="E7" s="299">
        <v>324180805.24000001</v>
      </c>
      <c r="F7" s="299">
        <v>330202441</v>
      </c>
      <c r="G7" s="300">
        <v>53337.68</v>
      </c>
    </row>
    <row r="8" spans="1:7" ht="15.25" customHeight="1">
      <c r="A8" s="301" t="s">
        <v>305</v>
      </c>
      <c r="D8" s="264">
        <v>214</v>
      </c>
      <c r="E8" s="265">
        <v>324180805.24000001</v>
      </c>
      <c r="F8" s="265">
        <v>330202441</v>
      </c>
      <c r="G8" s="266">
        <v>53337.68</v>
      </c>
    </row>
  </sheetData>
  <mergeCells count="1">
    <mergeCell ref="A1:G1"/>
  </mergeCells>
  <pageMargins left="0.7" right="0.7" top="0.75" bottom="0.75" header="0.3" footer="0.3"/>
  <pageSetup orientation="portrait"/>
  <headerFooter>
    <oddFooter>&amp;C&amp;"Helvetica Neue,Regular"&amp;12&amp;K000000&amp;P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8"/>
  <sheetViews>
    <sheetView showGridLines="0" workbookViewId="0"/>
  </sheetViews>
  <sheetFormatPr baseColWidth="10" defaultColWidth="13.33203125" defaultRowHeight="17.5" customHeight="1"/>
  <cols>
    <col min="1" max="9" width="13.33203125" style="4" customWidth="1"/>
    <col min="10" max="16384" width="13.33203125" style="4"/>
  </cols>
  <sheetData>
    <row r="1" spans="1:8" ht="12.25" customHeight="1">
      <c r="A1" s="431" t="s">
        <v>17</v>
      </c>
      <c r="B1" s="432"/>
      <c r="C1" s="432"/>
      <c r="D1" s="432"/>
      <c r="E1" s="432"/>
      <c r="F1" s="432"/>
      <c r="G1" s="432"/>
      <c r="H1" s="275"/>
    </row>
    <row r="2" spans="1:8" ht="15.25" customHeight="1">
      <c r="A2" s="267"/>
      <c r="B2" s="268"/>
      <c r="C2" s="268"/>
      <c r="D2" s="268"/>
      <c r="E2" s="268"/>
      <c r="F2" s="268"/>
      <c r="G2" s="276"/>
      <c r="H2" s="277"/>
    </row>
    <row r="3" spans="1:8" ht="15.25" customHeight="1">
      <c r="A3" s="278"/>
      <c r="B3" s="279"/>
      <c r="C3" s="279"/>
      <c r="D3" s="279"/>
      <c r="E3" s="279"/>
      <c r="F3" s="279"/>
      <c r="G3" s="280"/>
      <c r="H3" s="277"/>
    </row>
    <row r="4" spans="1:8" ht="13.5" customHeight="1">
      <c r="A4" s="278"/>
      <c r="B4" s="279"/>
      <c r="C4" s="279"/>
      <c r="D4" s="279"/>
      <c r="E4" s="279"/>
      <c r="F4" s="279"/>
      <c r="G4" s="280"/>
      <c r="H4" s="277"/>
    </row>
    <row r="5" spans="1:8" ht="13.5" customHeight="1">
      <c r="A5" s="278"/>
      <c r="B5" s="279"/>
      <c r="C5" s="279"/>
      <c r="D5" s="279"/>
      <c r="E5" s="279"/>
      <c r="F5" s="279"/>
      <c r="G5" s="280"/>
      <c r="H5" s="277"/>
    </row>
    <row r="6" spans="1:8" ht="13.5" customHeight="1">
      <c r="A6" s="278"/>
      <c r="B6" s="279"/>
      <c r="C6" s="279"/>
      <c r="D6" s="279"/>
      <c r="E6" s="279"/>
      <c r="F6" s="279"/>
      <c r="G6" s="280"/>
      <c r="H6" s="277"/>
    </row>
    <row r="7" spans="1:8" ht="13.5" customHeight="1">
      <c r="A7" s="278"/>
      <c r="B7" s="279"/>
      <c r="C7" s="279"/>
      <c r="D7" s="279"/>
      <c r="E7" s="279"/>
      <c r="F7" s="279"/>
      <c r="G7" s="280"/>
      <c r="H7" s="277"/>
    </row>
    <row r="8" spans="1:8" ht="13.25" customHeight="1">
      <c r="A8" s="278"/>
      <c r="B8" s="279"/>
      <c r="C8" s="279"/>
      <c r="D8" s="279"/>
      <c r="E8" s="279"/>
      <c r="F8" s="279"/>
      <c r="G8" s="280"/>
      <c r="H8" s="277"/>
    </row>
    <row r="9" spans="1:8" ht="15" customHeight="1">
      <c r="A9" s="278"/>
      <c r="B9" s="279"/>
      <c r="C9" s="279"/>
      <c r="D9" s="279"/>
      <c r="E9" s="279"/>
      <c r="F9" s="279"/>
      <c r="G9" s="280"/>
      <c r="H9" s="277"/>
    </row>
    <row r="10" spans="1:8" ht="15" customHeight="1">
      <c r="A10" s="278"/>
      <c r="B10" s="279"/>
      <c r="C10" s="279"/>
      <c r="D10" s="279"/>
      <c r="E10" s="279"/>
      <c r="F10" s="279"/>
      <c r="G10" s="280"/>
      <c r="H10" s="277"/>
    </row>
    <row r="11" spans="1:8" ht="15" customHeight="1">
      <c r="A11" s="278"/>
      <c r="B11" s="279"/>
      <c r="C11" s="279"/>
      <c r="D11" s="279"/>
      <c r="E11" s="279"/>
      <c r="F11" s="279"/>
      <c r="G11" s="280"/>
      <c r="H11" s="277"/>
    </row>
    <row r="12" spans="1:8" ht="15.25" customHeight="1">
      <c r="A12" s="278"/>
      <c r="B12" s="279"/>
      <c r="C12" s="279"/>
      <c r="D12" s="279"/>
      <c r="E12" s="279"/>
      <c r="F12" s="279"/>
      <c r="G12" s="280"/>
      <c r="H12" s="277"/>
    </row>
    <row r="13" spans="1:8" ht="13.25" customHeight="1">
      <c r="A13" s="278"/>
      <c r="B13" s="279"/>
      <c r="C13" s="279"/>
      <c r="D13" s="279"/>
      <c r="E13" s="279"/>
      <c r="F13" s="279"/>
      <c r="G13" s="280"/>
      <c r="H13" s="277"/>
    </row>
    <row r="14" spans="1:8" ht="15" customHeight="1">
      <c r="A14" s="278"/>
      <c r="B14" s="279"/>
      <c r="C14" s="279"/>
      <c r="D14" s="279"/>
      <c r="E14" s="279"/>
      <c r="F14" s="279"/>
      <c r="G14" s="280"/>
      <c r="H14" s="277"/>
    </row>
    <row r="15" spans="1:8" ht="15.25" customHeight="1">
      <c r="A15" s="278"/>
      <c r="B15" s="279"/>
      <c r="C15" s="279"/>
      <c r="D15" s="279"/>
      <c r="E15" s="279"/>
      <c r="F15" s="279"/>
      <c r="G15" s="280"/>
      <c r="H15" s="277"/>
    </row>
    <row r="16" spans="1:8" ht="13.5" customHeight="1">
      <c r="A16" s="278"/>
      <c r="B16" s="279"/>
      <c r="C16" s="279"/>
      <c r="D16" s="279"/>
      <c r="E16" s="279"/>
      <c r="F16" s="279"/>
      <c r="G16" s="280"/>
      <c r="H16" s="277"/>
    </row>
    <row r="17" spans="1:8" ht="15.25" customHeight="1">
      <c r="A17" s="281"/>
      <c r="B17" s="302"/>
      <c r="C17" s="302"/>
      <c r="D17" s="282"/>
      <c r="E17" s="282"/>
      <c r="F17" s="282"/>
      <c r="G17" s="283"/>
      <c r="H17" s="277"/>
    </row>
    <row r="18" spans="1:8" ht="13.5" customHeight="1">
      <c r="A18" s="284"/>
      <c r="B18" s="303"/>
      <c r="C18" s="303"/>
      <c r="D18" s="285"/>
      <c r="E18" s="285"/>
      <c r="F18" s="285"/>
      <c r="G18" s="285"/>
      <c r="H18" s="272"/>
    </row>
  </sheetData>
  <mergeCells count="1">
    <mergeCell ref="A1:G1"/>
  </mergeCells>
  <pageMargins left="0.7" right="0.7" top="0.75" bottom="0.75" header="0.3" footer="0.3"/>
  <pageSetup orientation="portrait"/>
  <headerFooter>
    <oddFooter>&amp;C&amp;"Helvetica Neue,Regular"&amp;12&amp;K000000&amp;P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47"/>
  <sheetViews>
    <sheetView showGridLines="0" workbookViewId="0"/>
  </sheetViews>
  <sheetFormatPr baseColWidth="10" defaultColWidth="9.1640625" defaultRowHeight="13" customHeight="1"/>
  <cols>
    <col min="1" max="1" width="7.5" style="4" customWidth="1"/>
    <col min="2" max="2" width="18.33203125" style="4" customWidth="1"/>
    <col min="3" max="3" width="9.33203125" style="4" customWidth="1"/>
    <col min="4" max="4" width="10" style="4" customWidth="1"/>
    <col min="5" max="5" width="7.5" style="4" customWidth="1"/>
    <col min="6" max="6" width="14.33203125" style="4" customWidth="1"/>
    <col min="7" max="7" width="8.83203125" style="4" customWidth="1"/>
    <col min="8" max="8" width="15.33203125" style="4" customWidth="1"/>
    <col min="9" max="9" width="8.5" style="4" customWidth="1"/>
    <col min="10" max="10" width="9" style="4" customWidth="1"/>
    <col min="11" max="11" width="8.33203125" style="4" customWidth="1"/>
    <col min="12" max="12" width="9.1640625" style="4" customWidth="1"/>
    <col min="13" max="16384" width="9.1640625" style="4"/>
  </cols>
  <sheetData>
    <row r="1" spans="1:11" ht="13.5" customHeight="1">
      <c r="A1" s="19"/>
      <c r="B1" s="19"/>
      <c r="C1" s="19"/>
      <c r="D1" s="19"/>
      <c r="E1" s="19"/>
      <c r="F1" s="19"/>
      <c r="G1" s="19"/>
      <c r="H1" s="19"/>
      <c r="I1" s="19"/>
      <c r="J1" s="19"/>
      <c r="K1" s="19"/>
    </row>
    <row r="2" spans="1:11" ht="13.75" customHeight="1">
      <c r="A2" s="19"/>
      <c r="B2" s="304"/>
      <c r="C2" s="44"/>
      <c r="D2" s="44"/>
      <c r="E2" s="44"/>
      <c r="F2" s="44"/>
      <c r="G2" s="44"/>
      <c r="H2" s="44"/>
      <c r="I2" s="19"/>
      <c r="J2" s="19"/>
      <c r="K2" s="19"/>
    </row>
    <row r="3" spans="1:11" ht="26" customHeight="1">
      <c r="A3" s="45"/>
      <c r="B3" s="305" t="s">
        <v>376</v>
      </c>
      <c r="C3" s="306" t="s">
        <v>377</v>
      </c>
      <c r="D3" s="306" t="s">
        <v>378</v>
      </c>
      <c r="E3" s="306" t="s">
        <v>379</v>
      </c>
      <c r="F3" s="306" t="s">
        <v>380</v>
      </c>
      <c r="G3" s="305" t="s">
        <v>381</v>
      </c>
      <c r="H3" s="306" t="s">
        <v>382</v>
      </c>
      <c r="I3" s="180"/>
      <c r="J3" s="19"/>
      <c r="K3" s="19"/>
    </row>
    <row r="4" spans="1:11" ht="13.75" customHeight="1">
      <c r="A4" s="45"/>
      <c r="B4" s="307"/>
      <c r="C4" s="308"/>
      <c r="D4" s="308"/>
      <c r="E4" s="308"/>
      <c r="F4" s="308"/>
      <c r="G4" s="309"/>
      <c r="H4" s="308"/>
      <c r="I4" s="180"/>
      <c r="J4" s="19"/>
      <c r="K4" s="19"/>
    </row>
    <row r="5" spans="1:11" ht="13.75" customHeight="1">
      <c r="A5" s="45"/>
      <c r="B5" s="307"/>
      <c r="C5" s="308"/>
      <c r="D5" s="308"/>
      <c r="E5" s="308"/>
      <c r="F5" s="308"/>
      <c r="G5" s="309"/>
      <c r="H5" s="308"/>
      <c r="I5" s="180"/>
      <c r="J5" s="19"/>
      <c r="K5" s="19"/>
    </row>
    <row r="6" spans="1:11" ht="13.75" customHeight="1">
      <c r="A6" s="45"/>
      <c r="B6" s="307"/>
      <c r="C6" s="308"/>
      <c r="D6" s="308"/>
      <c r="E6" s="308"/>
      <c r="F6" s="308"/>
      <c r="G6" s="309"/>
      <c r="H6" s="308"/>
      <c r="I6" s="180"/>
      <c r="J6" s="19"/>
      <c r="K6" s="19"/>
    </row>
    <row r="7" spans="1:11" ht="13.75" customHeight="1">
      <c r="A7" s="45"/>
      <c r="B7" s="307"/>
      <c r="C7" s="308"/>
      <c r="D7" s="308"/>
      <c r="E7" s="308"/>
      <c r="F7" s="308"/>
      <c r="G7" s="309"/>
      <c r="H7" s="308"/>
      <c r="I7" s="180"/>
      <c r="J7" s="19"/>
      <c r="K7" s="19"/>
    </row>
    <row r="8" spans="1:11" ht="13.75" customHeight="1">
      <c r="A8" s="45"/>
      <c r="B8" s="307"/>
      <c r="C8" s="308"/>
      <c r="D8" s="308"/>
      <c r="E8" s="308"/>
      <c r="F8" s="308"/>
      <c r="G8" s="309"/>
      <c r="H8" s="308"/>
      <c r="I8" s="180"/>
      <c r="J8" s="19"/>
      <c r="K8" s="19"/>
    </row>
    <row r="9" spans="1:11" ht="13.75" customHeight="1">
      <c r="A9" s="45"/>
      <c r="B9" s="307"/>
      <c r="C9" s="308"/>
      <c r="D9" s="308"/>
      <c r="E9" s="308"/>
      <c r="F9" s="308"/>
      <c r="G9" s="309"/>
      <c r="H9" s="308"/>
      <c r="I9" s="180"/>
      <c r="J9" s="19"/>
      <c r="K9" s="19"/>
    </row>
    <row r="10" spans="1:11" ht="13.75" customHeight="1">
      <c r="A10" s="45"/>
      <c r="B10" s="307"/>
      <c r="C10" s="308"/>
      <c r="D10" s="308"/>
      <c r="E10" s="308"/>
      <c r="F10" s="308"/>
      <c r="G10" s="309"/>
      <c r="H10" s="308"/>
      <c r="I10" s="180"/>
      <c r="J10" s="19"/>
      <c r="K10" s="19"/>
    </row>
    <row r="11" spans="1:11" ht="13.75" customHeight="1">
      <c r="A11" s="45"/>
      <c r="B11" s="307"/>
      <c r="C11" s="308"/>
      <c r="D11" s="308"/>
      <c r="E11" s="308"/>
      <c r="F11" s="308"/>
      <c r="G11" s="309"/>
      <c r="H11" s="308"/>
      <c r="I11" s="180"/>
      <c r="J11" s="19"/>
      <c r="K11" s="19"/>
    </row>
    <row r="12" spans="1:11" ht="13.75" customHeight="1">
      <c r="A12" s="45"/>
      <c r="B12" s="307"/>
      <c r="C12" s="310"/>
      <c r="D12" s="310"/>
      <c r="E12" s="311"/>
      <c r="F12" s="32"/>
      <c r="G12" s="32"/>
      <c r="H12" s="312"/>
      <c r="I12" s="313"/>
      <c r="J12" s="19"/>
      <c r="K12" s="246"/>
    </row>
    <row r="13" spans="1:11" ht="13.75" customHeight="1">
      <c r="A13" s="45"/>
      <c r="B13" s="307"/>
      <c r="C13" s="310"/>
      <c r="D13" s="310"/>
      <c r="E13" s="311"/>
      <c r="F13" s="32"/>
      <c r="G13" s="32"/>
      <c r="H13" s="312"/>
      <c r="I13" s="313"/>
      <c r="J13" s="19"/>
      <c r="K13" s="246"/>
    </row>
    <row r="14" spans="1:11" ht="13.75" customHeight="1">
      <c r="A14" s="45"/>
      <c r="B14" s="307"/>
      <c r="C14" s="310"/>
      <c r="D14" s="310"/>
      <c r="E14" s="311"/>
      <c r="F14" s="32"/>
      <c r="G14" s="32"/>
      <c r="H14" s="312"/>
      <c r="I14" s="313"/>
      <c r="J14" s="19"/>
      <c r="K14" s="246"/>
    </row>
    <row r="15" spans="1:11" ht="13.75" customHeight="1">
      <c r="A15" s="45"/>
      <c r="B15" s="307"/>
      <c r="C15" s="310"/>
      <c r="D15" s="310"/>
      <c r="E15" s="311"/>
      <c r="F15" s="32"/>
      <c r="G15" s="32"/>
      <c r="H15" s="312"/>
      <c r="I15" s="313"/>
      <c r="J15" s="19"/>
      <c r="K15" s="246"/>
    </row>
    <row r="16" spans="1:11" ht="13.75" customHeight="1">
      <c r="A16" s="45"/>
      <c r="B16" s="307"/>
      <c r="C16" s="310"/>
      <c r="D16" s="310"/>
      <c r="E16" s="311"/>
      <c r="F16" s="32"/>
      <c r="G16" s="32"/>
      <c r="H16" s="312"/>
      <c r="I16" s="313"/>
      <c r="J16" s="19"/>
      <c r="K16" s="246"/>
    </row>
    <row r="17" spans="1:11" ht="13.75" customHeight="1">
      <c r="A17" s="45"/>
      <c r="B17" s="314"/>
      <c r="C17" s="310"/>
      <c r="D17" s="310"/>
      <c r="E17" s="311"/>
      <c r="F17" s="32"/>
      <c r="G17" s="32"/>
      <c r="H17" s="312"/>
      <c r="I17" s="313"/>
      <c r="J17" s="19"/>
      <c r="K17" s="246"/>
    </row>
    <row r="18" spans="1:11" ht="13.75" customHeight="1">
      <c r="A18" s="45"/>
      <c r="B18" s="306" t="s">
        <v>82</v>
      </c>
      <c r="C18" s="315">
        <f>SUM(C12:C17)</f>
        <v>0</v>
      </c>
      <c r="D18" s="315">
        <f>SUM(D12:D17)</f>
        <v>0</v>
      </c>
      <c r="E18" s="311"/>
      <c r="F18" s="316">
        <f>SUM(F12:F17)</f>
        <v>0</v>
      </c>
      <c r="G18" s="316">
        <f>SUM(G12:G17)</f>
        <v>0</v>
      </c>
      <c r="H18" s="316">
        <f>SUM(H12:H17)</f>
        <v>0</v>
      </c>
      <c r="I18" s="87"/>
      <c r="J18" s="19"/>
      <c r="K18" s="19"/>
    </row>
    <row r="19" spans="1:11" ht="13.75" customHeight="1">
      <c r="A19" s="19"/>
      <c r="B19" s="100"/>
      <c r="C19" s="184"/>
      <c r="D19" s="100"/>
      <c r="E19" s="121"/>
      <c r="F19" s="184"/>
      <c r="G19" s="184"/>
      <c r="H19" s="121"/>
      <c r="I19" s="19"/>
      <c r="J19" s="19"/>
      <c r="K19" s="19"/>
    </row>
    <row r="20" spans="1:11" ht="13.75" customHeight="1">
      <c r="A20" s="19"/>
      <c r="B20" s="19"/>
      <c r="C20" s="19"/>
      <c r="D20" s="19"/>
      <c r="E20" s="19"/>
      <c r="F20" s="185"/>
      <c r="G20" s="185"/>
      <c r="H20" s="19"/>
      <c r="I20" s="19"/>
      <c r="J20" s="19"/>
      <c r="K20" s="19"/>
    </row>
    <row r="21" spans="1:11" ht="13.5" customHeight="1">
      <c r="A21" s="19"/>
      <c r="B21" s="19"/>
      <c r="C21" s="19"/>
      <c r="D21" s="19"/>
      <c r="E21" s="19"/>
      <c r="F21" s="19"/>
      <c r="G21" s="19"/>
      <c r="H21" s="19"/>
      <c r="I21" s="19"/>
      <c r="J21" s="19"/>
      <c r="K21" s="19"/>
    </row>
    <row r="22" spans="1:11" ht="13.75" customHeight="1">
      <c r="A22" s="19"/>
      <c r="B22" s="19"/>
      <c r="C22" s="91"/>
      <c r="D22" s="91"/>
      <c r="E22" s="185"/>
      <c r="F22" s="185"/>
      <c r="G22" s="185"/>
      <c r="H22" s="91"/>
      <c r="I22" s="317"/>
      <c r="J22" s="19"/>
      <c r="K22" s="185"/>
    </row>
    <row r="23" spans="1:11" ht="13.75" customHeight="1">
      <c r="A23" s="19"/>
      <c r="B23" s="19"/>
      <c r="C23" s="91"/>
      <c r="D23" s="91"/>
      <c r="E23" s="185"/>
      <c r="F23" s="185"/>
      <c r="G23" s="185"/>
      <c r="H23" s="91"/>
      <c r="I23" s="317"/>
      <c r="J23" s="19"/>
      <c r="K23" s="185"/>
    </row>
    <row r="24" spans="1:11" ht="13.75" customHeight="1">
      <c r="A24" s="19"/>
      <c r="B24" s="19"/>
      <c r="C24" s="91"/>
      <c r="D24" s="91"/>
      <c r="E24" s="185"/>
      <c r="F24" s="185"/>
      <c r="G24" s="185"/>
      <c r="H24" s="91"/>
      <c r="I24" s="317"/>
      <c r="J24" s="19"/>
      <c r="K24" s="185"/>
    </row>
    <row r="25" spans="1:11" ht="13.75" customHeight="1">
      <c r="A25" s="19"/>
      <c r="B25" s="19"/>
      <c r="C25" s="91"/>
      <c r="D25" s="91"/>
      <c r="E25" s="185"/>
      <c r="F25" s="185"/>
      <c r="G25" s="185"/>
      <c r="H25" s="91"/>
      <c r="I25" s="317"/>
      <c r="J25" s="19"/>
      <c r="K25" s="185"/>
    </row>
    <row r="26" spans="1:11" ht="13.75" customHeight="1">
      <c r="A26" s="19"/>
      <c r="B26" s="19"/>
      <c r="C26" s="91"/>
      <c r="D26" s="91"/>
      <c r="E26" s="185"/>
      <c r="F26" s="185"/>
      <c r="G26" s="185"/>
      <c r="H26" s="91"/>
      <c r="I26" s="317"/>
      <c r="J26" s="19"/>
      <c r="K26" s="185"/>
    </row>
    <row r="27" spans="1:11" ht="13.75" customHeight="1">
      <c r="A27" s="19"/>
      <c r="B27" s="19"/>
      <c r="C27" s="19"/>
      <c r="D27" s="19"/>
      <c r="E27" s="185"/>
      <c r="F27" s="185"/>
      <c r="G27" s="185"/>
      <c r="H27" s="19"/>
      <c r="I27" s="19"/>
      <c r="J27" s="19"/>
      <c r="K27" s="19"/>
    </row>
    <row r="28" spans="1:11" ht="13.75" customHeight="1">
      <c r="A28" s="19"/>
      <c r="B28" s="19"/>
      <c r="C28" s="19"/>
      <c r="D28" s="19"/>
      <c r="E28" s="185"/>
      <c r="F28" s="185"/>
      <c r="G28" s="185"/>
      <c r="H28" s="19"/>
      <c r="I28" s="19"/>
      <c r="J28" s="19"/>
      <c r="K28" s="19"/>
    </row>
    <row r="29" spans="1:11" ht="13.75" customHeight="1">
      <c r="A29" s="19"/>
      <c r="B29" s="19"/>
      <c r="C29" s="19"/>
      <c r="D29" s="19"/>
      <c r="E29" s="185"/>
      <c r="F29" s="185"/>
      <c r="G29" s="185"/>
      <c r="H29" s="19"/>
      <c r="I29" s="19"/>
      <c r="J29" s="19"/>
      <c r="K29" s="19"/>
    </row>
    <row r="30" spans="1:11" ht="13.75" customHeight="1">
      <c r="A30" s="19"/>
      <c r="B30" s="19"/>
      <c r="C30" s="19"/>
      <c r="D30" s="19"/>
      <c r="E30" s="185"/>
      <c r="F30" s="185"/>
      <c r="G30" s="185"/>
      <c r="H30" s="19"/>
      <c r="I30" s="19"/>
      <c r="J30" s="19"/>
      <c r="K30" s="19"/>
    </row>
    <row r="31" spans="1:11" ht="13.75" customHeight="1">
      <c r="A31" s="19"/>
      <c r="B31" s="19"/>
      <c r="C31" s="19"/>
      <c r="D31" s="19"/>
      <c r="E31" s="185"/>
      <c r="F31" s="185"/>
      <c r="G31" s="185"/>
      <c r="H31" s="19"/>
      <c r="I31" s="19"/>
      <c r="J31" s="19"/>
      <c r="K31" s="19"/>
    </row>
    <row r="32" spans="1:11" ht="13.75" customHeight="1">
      <c r="A32" s="19"/>
      <c r="B32" s="19"/>
      <c r="C32" s="19"/>
      <c r="D32" s="19"/>
      <c r="E32" s="185"/>
      <c r="F32" s="185"/>
      <c r="G32" s="185"/>
      <c r="H32" s="19"/>
      <c r="I32" s="19"/>
      <c r="J32" s="19"/>
      <c r="K32" s="19"/>
    </row>
    <row r="33" spans="1:11" ht="13.75" customHeight="1">
      <c r="A33" s="19"/>
      <c r="B33" s="19"/>
      <c r="C33" s="19"/>
      <c r="D33" s="19"/>
      <c r="E33" s="185"/>
      <c r="F33" s="185"/>
      <c r="G33" s="185"/>
      <c r="H33" s="19"/>
      <c r="I33" s="19"/>
      <c r="J33" s="19"/>
      <c r="K33" s="19"/>
    </row>
    <row r="34" spans="1:11" ht="13.75" customHeight="1">
      <c r="A34" s="19"/>
      <c r="B34" s="19"/>
      <c r="C34" s="19"/>
      <c r="D34" s="19"/>
      <c r="E34" s="185"/>
      <c r="F34" s="185"/>
      <c r="G34" s="185"/>
      <c r="H34" s="19"/>
      <c r="I34" s="19"/>
      <c r="J34" s="19"/>
      <c r="K34" s="19"/>
    </row>
    <row r="35" spans="1:11" ht="13.75" customHeight="1">
      <c r="A35" s="19"/>
      <c r="B35" s="19"/>
      <c r="C35" s="19"/>
      <c r="D35" s="19"/>
      <c r="E35" s="185"/>
      <c r="F35" s="185"/>
      <c r="G35" s="185"/>
      <c r="H35" s="19"/>
      <c r="I35" s="19"/>
      <c r="J35" s="19"/>
      <c r="K35" s="19"/>
    </row>
    <row r="36" spans="1:11" ht="13.75" customHeight="1">
      <c r="A36" s="19"/>
      <c r="B36" s="19"/>
      <c r="C36" s="19"/>
      <c r="D36" s="19"/>
      <c r="E36" s="185"/>
      <c r="F36" s="185"/>
      <c r="G36" s="185"/>
      <c r="H36" s="19"/>
      <c r="I36" s="19"/>
      <c r="J36" s="19"/>
      <c r="K36" s="19"/>
    </row>
    <row r="37" spans="1:11" ht="13.75" customHeight="1">
      <c r="A37" s="19"/>
      <c r="B37" s="19"/>
      <c r="C37" s="19"/>
      <c r="D37" s="19"/>
      <c r="E37" s="185"/>
      <c r="F37" s="185"/>
      <c r="G37" s="185"/>
      <c r="H37" s="19"/>
      <c r="I37" s="19"/>
      <c r="J37" s="19"/>
      <c r="K37" s="19"/>
    </row>
    <row r="38" spans="1:11" ht="13.75" customHeight="1">
      <c r="A38" s="19"/>
      <c r="B38" s="19"/>
      <c r="C38" s="19"/>
      <c r="D38" s="19"/>
      <c r="E38" s="185"/>
      <c r="F38" s="185"/>
      <c r="G38" s="185"/>
      <c r="H38" s="19"/>
      <c r="I38" s="19"/>
      <c r="J38" s="19"/>
      <c r="K38" s="19"/>
    </row>
    <row r="39" spans="1:11" ht="13.75" customHeight="1">
      <c r="A39" s="19"/>
      <c r="B39" s="19"/>
      <c r="C39" s="19"/>
      <c r="D39" s="19"/>
      <c r="E39" s="185"/>
      <c r="F39" s="185"/>
      <c r="G39" s="185"/>
      <c r="H39" s="19"/>
      <c r="I39" s="19"/>
      <c r="J39" s="19"/>
      <c r="K39" s="19"/>
    </row>
    <row r="40" spans="1:11" ht="13.75" customHeight="1">
      <c r="A40" s="19"/>
      <c r="B40" s="19"/>
      <c r="C40" s="19"/>
      <c r="D40" s="19"/>
      <c r="E40" s="185"/>
      <c r="F40" s="185"/>
      <c r="G40" s="185"/>
      <c r="H40" s="19"/>
      <c r="I40" s="19"/>
      <c r="J40" s="19"/>
      <c r="K40" s="19"/>
    </row>
    <row r="41" spans="1:11" ht="13.75" customHeight="1">
      <c r="A41" s="19"/>
      <c r="B41" s="19"/>
      <c r="C41" s="19"/>
      <c r="D41" s="19"/>
      <c r="E41" s="185"/>
      <c r="F41" s="185"/>
      <c r="G41" s="185"/>
      <c r="H41" s="19"/>
      <c r="I41" s="19"/>
      <c r="J41" s="19"/>
      <c r="K41" s="19"/>
    </row>
    <row r="42" spans="1:11" ht="13.75" customHeight="1">
      <c r="A42" s="19"/>
      <c r="B42" s="19"/>
      <c r="C42" s="19"/>
      <c r="D42" s="19"/>
      <c r="E42" s="185"/>
      <c r="F42" s="185"/>
      <c r="G42" s="185"/>
      <c r="H42" s="19"/>
      <c r="I42" s="19"/>
      <c r="J42" s="19"/>
      <c r="K42" s="19"/>
    </row>
    <row r="43" spans="1:11" ht="13.75" customHeight="1">
      <c r="A43" s="19"/>
      <c r="B43" s="19"/>
      <c r="C43" s="19"/>
      <c r="D43" s="19"/>
      <c r="E43" s="185"/>
      <c r="F43" s="185"/>
      <c r="G43" s="185"/>
      <c r="H43" s="19"/>
      <c r="I43" s="19"/>
      <c r="J43" s="19"/>
      <c r="K43" s="19"/>
    </row>
    <row r="44" spans="1:11" ht="13.75" customHeight="1">
      <c r="A44" s="19"/>
      <c r="B44" s="19"/>
      <c r="C44" s="19"/>
      <c r="D44" s="19"/>
      <c r="E44" s="185"/>
      <c r="F44" s="185"/>
      <c r="G44" s="185"/>
      <c r="H44" s="19"/>
      <c r="I44" s="19"/>
      <c r="J44" s="19"/>
      <c r="K44" s="19"/>
    </row>
    <row r="45" spans="1:11" ht="13.75" customHeight="1">
      <c r="A45" s="19"/>
      <c r="B45" s="19"/>
      <c r="C45" s="19"/>
      <c r="D45" s="19"/>
      <c r="E45" s="185"/>
      <c r="F45" s="185"/>
      <c r="G45" s="185"/>
      <c r="H45" s="19"/>
      <c r="I45" s="19"/>
      <c r="J45" s="19"/>
      <c r="K45" s="19"/>
    </row>
    <row r="46" spans="1:11" ht="13.75" customHeight="1">
      <c r="A46" s="19"/>
      <c r="B46" s="19"/>
      <c r="C46" s="19"/>
      <c r="D46" s="19"/>
      <c r="E46" s="185"/>
      <c r="F46" s="185"/>
      <c r="G46" s="185"/>
      <c r="H46" s="19"/>
      <c r="I46" s="19"/>
      <c r="J46" s="19"/>
      <c r="K46" s="19"/>
    </row>
    <row r="47" spans="1:11" ht="13.75" customHeight="1">
      <c r="A47" s="19"/>
      <c r="B47" s="19"/>
      <c r="C47" s="19"/>
      <c r="D47" s="19"/>
      <c r="E47" s="185"/>
      <c r="F47" s="185"/>
      <c r="G47" s="185"/>
      <c r="H47" s="19"/>
      <c r="I47" s="19"/>
      <c r="J47" s="19"/>
      <c r="K47" s="19"/>
    </row>
  </sheetData>
  <pageMargins left="0.7" right="0.7" top="0.75" bottom="0.75" header="0.3" footer="0.3"/>
  <pageSetup orientation="portrait"/>
  <headerFooter>
    <oddFooter>&amp;C&amp;"Helvetica Neue,Regular"&amp;12&amp;K000000&amp;P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38"/>
  <sheetViews>
    <sheetView showGridLines="0" workbookViewId="0"/>
  </sheetViews>
  <sheetFormatPr baseColWidth="10" defaultColWidth="8.83203125" defaultRowHeight="14.5" customHeight="1"/>
  <cols>
    <col min="1" max="2" width="8.83203125" style="4" customWidth="1"/>
    <col min="3" max="3" width="38.6640625" style="4" customWidth="1"/>
    <col min="4" max="4" width="10.6640625" style="4" customWidth="1"/>
    <col min="5" max="5" width="15.33203125" style="4" customWidth="1"/>
    <col min="6" max="6" width="6" style="4" customWidth="1"/>
    <col min="7" max="7" width="8.83203125" style="4" customWidth="1"/>
    <col min="8" max="16384" width="8.83203125" style="4"/>
  </cols>
  <sheetData>
    <row r="1" spans="1:6" ht="13.5" customHeight="1">
      <c r="A1" s="19"/>
      <c r="B1" s="19"/>
      <c r="C1" s="19"/>
      <c r="D1" s="19"/>
      <c r="E1" s="19"/>
      <c r="F1" s="19"/>
    </row>
    <row r="2" spans="1:6" ht="13.5" customHeight="1">
      <c r="A2" s="19"/>
      <c r="B2" s="19"/>
      <c r="C2" s="19"/>
      <c r="D2" s="19"/>
      <c r="E2" s="19"/>
      <c r="F2" s="19"/>
    </row>
    <row r="3" spans="1:6" ht="13.5" customHeight="1">
      <c r="A3" s="19"/>
      <c r="B3" s="19"/>
      <c r="C3" s="19"/>
      <c r="D3" s="19"/>
      <c r="E3" s="19"/>
      <c r="F3" s="19"/>
    </row>
    <row r="4" spans="1:6" ht="13.5" customHeight="1">
      <c r="A4" s="19"/>
      <c r="B4" s="19"/>
      <c r="C4" s="44"/>
      <c r="D4" s="44"/>
      <c r="E4" s="44"/>
      <c r="F4" s="44"/>
    </row>
    <row r="5" spans="1:6" ht="13.5" customHeight="1">
      <c r="A5" s="19"/>
      <c r="B5" s="45"/>
      <c r="C5" s="318" t="s">
        <v>383</v>
      </c>
      <c r="D5" s="318" t="s">
        <v>384</v>
      </c>
      <c r="E5" s="318" t="s">
        <v>385</v>
      </c>
      <c r="F5" s="318" t="s">
        <v>82</v>
      </c>
    </row>
    <row r="6" spans="1:6" ht="13.5" customHeight="1">
      <c r="A6" s="19"/>
      <c r="B6" s="45"/>
      <c r="C6" s="319" t="s">
        <v>386</v>
      </c>
      <c r="D6" s="320">
        <v>978</v>
      </c>
      <c r="E6" s="320">
        <v>978</v>
      </c>
      <c r="F6" s="321">
        <f>SUM(D6:E6)</f>
        <v>1956</v>
      </c>
    </row>
    <row r="7" spans="1:6" ht="13.5" customHeight="1">
      <c r="A7" s="19"/>
      <c r="B7" s="45"/>
      <c r="C7" s="319" t="s">
        <v>387</v>
      </c>
      <c r="D7" s="320">
        <v>7217</v>
      </c>
      <c r="E7" s="320">
        <v>742</v>
      </c>
      <c r="F7" s="321">
        <f>SUM(D7:E7)</f>
        <v>7959</v>
      </c>
    </row>
    <row r="8" spans="1:6" ht="13.5" customHeight="1">
      <c r="A8" s="19"/>
      <c r="B8" s="45"/>
      <c r="C8" s="143"/>
      <c r="D8" s="322"/>
      <c r="E8" s="322"/>
      <c r="F8" s="322"/>
    </row>
    <row r="9" spans="1:6" ht="13.5" customHeight="1">
      <c r="A9" s="19"/>
      <c r="B9" s="45"/>
      <c r="C9" s="319" t="s">
        <v>388</v>
      </c>
      <c r="D9" s="320">
        <v>4.34</v>
      </c>
      <c r="E9" s="320">
        <v>6.48</v>
      </c>
      <c r="F9" s="321">
        <f>SUM(D9:E9)</f>
        <v>10.82</v>
      </c>
    </row>
    <row r="10" spans="1:6" ht="13.5" customHeight="1">
      <c r="A10" s="19"/>
      <c r="B10" s="45"/>
      <c r="C10" s="319" t="s">
        <v>389</v>
      </c>
      <c r="D10" s="320">
        <v>11.47</v>
      </c>
      <c r="E10" s="320">
        <v>5.36</v>
      </c>
      <c r="F10" s="321">
        <f>SUM(D10:E10)</f>
        <v>16.830000000000002</v>
      </c>
    </row>
    <row r="11" spans="1:6" ht="13.5" customHeight="1">
      <c r="A11" s="19"/>
      <c r="B11" s="19"/>
      <c r="C11" s="109"/>
      <c r="D11" s="109"/>
      <c r="E11" s="100"/>
      <c r="F11" s="100"/>
    </row>
    <row r="12" spans="1:6" ht="13.5" customHeight="1">
      <c r="A12" s="19"/>
      <c r="B12" s="45"/>
      <c r="C12" s="318" t="s">
        <v>77</v>
      </c>
      <c r="D12" s="318" t="s">
        <v>390</v>
      </c>
      <c r="E12" s="87"/>
      <c r="F12" s="19"/>
    </row>
    <row r="13" spans="1:6" ht="13.5" customHeight="1">
      <c r="A13" s="19"/>
      <c r="B13" s="45"/>
      <c r="C13" s="323"/>
      <c r="D13" s="323"/>
      <c r="E13" s="87"/>
      <c r="F13" s="19"/>
    </row>
    <row r="14" spans="1:6" ht="13.5" customHeight="1">
      <c r="A14" s="19"/>
      <c r="B14" s="45"/>
      <c r="C14" s="319" t="s">
        <v>391</v>
      </c>
      <c r="D14" s="324">
        <v>16.829999999999998</v>
      </c>
      <c r="E14" s="87"/>
      <c r="F14" s="19"/>
    </row>
    <row r="15" spans="1:6" ht="13.5" customHeight="1">
      <c r="A15" s="19"/>
      <c r="B15" s="45"/>
      <c r="C15" s="319" t="s">
        <v>392</v>
      </c>
      <c r="D15" s="325">
        <v>0.65</v>
      </c>
      <c r="E15" s="87"/>
      <c r="F15" s="19"/>
    </row>
    <row r="16" spans="1:6" ht="13.5" customHeight="1">
      <c r="A16" s="19"/>
      <c r="B16" s="45"/>
      <c r="C16" s="134"/>
      <c r="D16" s="134"/>
      <c r="E16" s="87"/>
      <c r="F16" s="19"/>
    </row>
    <row r="17" spans="1:6" ht="13.5" customHeight="1">
      <c r="A17" s="19"/>
      <c r="B17" s="45"/>
      <c r="C17" s="26" t="s">
        <v>393</v>
      </c>
      <c r="D17" s="326">
        <f>D14*D15</f>
        <v>10.939499999999999</v>
      </c>
      <c r="E17" s="87"/>
      <c r="F17" s="19"/>
    </row>
    <row r="18" spans="1:6" ht="13.5" customHeight="1">
      <c r="A18" s="19"/>
      <c r="B18" s="45"/>
      <c r="C18" s="134"/>
      <c r="D18" s="134"/>
      <c r="E18" s="87"/>
      <c r="F18" s="19"/>
    </row>
    <row r="19" spans="1:6" ht="13.5" customHeight="1">
      <c r="A19" s="19"/>
      <c r="B19" s="45"/>
      <c r="C19" s="26" t="s">
        <v>394</v>
      </c>
      <c r="D19" s="32">
        <v>28</v>
      </c>
      <c r="E19" s="87"/>
      <c r="F19" s="19"/>
    </row>
    <row r="20" spans="1:6" ht="13.5" customHeight="1">
      <c r="A20" s="19"/>
      <c r="B20" s="45"/>
      <c r="C20" s="26" t="s">
        <v>395</v>
      </c>
      <c r="D20" s="32">
        <f>28-6.18-0.47-1.9</f>
        <v>19.450000000000003</v>
      </c>
      <c r="E20" s="87"/>
      <c r="F20" s="19"/>
    </row>
    <row r="21" spans="1:6" ht="13.5" customHeight="1">
      <c r="A21" s="19"/>
      <c r="B21" s="45"/>
      <c r="C21" s="327" t="s">
        <v>396</v>
      </c>
      <c r="D21" s="328">
        <f>D19-D20</f>
        <v>8.5499999999999972</v>
      </c>
      <c r="E21" s="87"/>
      <c r="F21" s="19"/>
    </row>
    <row r="22" spans="1:6" ht="13.5" customHeight="1">
      <c r="A22" s="19"/>
      <c r="B22" s="45"/>
      <c r="C22" s="134"/>
      <c r="D22" s="32"/>
      <c r="E22" s="87"/>
      <c r="F22" s="19"/>
    </row>
    <row r="23" spans="1:6" ht="13.5" customHeight="1">
      <c r="A23" s="19"/>
      <c r="B23" s="45"/>
      <c r="C23" s="327" t="s">
        <v>397</v>
      </c>
      <c r="D23" s="328">
        <f>D17-D21</f>
        <v>2.3895000000000017</v>
      </c>
      <c r="E23" s="87"/>
      <c r="F23" s="19"/>
    </row>
    <row r="24" spans="1:6" ht="13.5" customHeight="1">
      <c r="A24" s="19"/>
      <c r="B24" s="19"/>
      <c r="C24" s="100"/>
      <c r="D24" s="184"/>
      <c r="E24" s="19"/>
      <c r="F24" s="19"/>
    </row>
    <row r="25" spans="1:6" ht="13.5" customHeight="1">
      <c r="A25" s="19"/>
      <c r="B25" s="19"/>
      <c r="C25" s="19"/>
      <c r="D25" s="185"/>
      <c r="E25" s="19"/>
      <c r="F25" s="19"/>
    </row>
    <row r="26" spans="1:6" ht="13.5" customHeight="1">
      <c r="A26" s="19"/>
      <c r="B26" s="19"/>
      <c r="C26" s="19"/>
      <c r="D26" s="185"/>
      <c r="E26" s="19"/>
      <c r="F26" s="19"/>
    </row>
    <row r="27" spans="1:6" ht="13.5" customHeight="1">
      <c r="A27" s="19"/>
      <c r="B27" s="19"/>
      <c r="C27" s="19"/>
      <c r="D27" s="185"/>
      <c r="E27" s="19"/>
      <c r="F27" s="19"/>
    </row>
    <row r="28" spans="1:6" ht="13.5" customHeight="1">
      <c r="A28" s="19"/>
      <c r="B28" s="19"/>
      <c r="C28" s="19"/>
      <c r="D28" s="185"/>
      <c r="E28" s="19"/>
      <c r="F28" s="19"/>
    </row>
    <row r="29" spans="1:6" ht="13.5" customHeight="1">
      <c r="A29" s="19"/>
      <c r="B29" s="19"/>
      <c r="C29" s="19"/>
      <c r="D29" s="185"/>
      <c r="E29" s="19"/>
      <c r="F29" s="19"/>
    </row>
    <row r="30" spans="1:6" ht="13.5" customHeight="1">
      <c r="A30" s="19"/>
      <c r="B30" s="19"/>
      <c r="C30" s="19"/>
      <c r="D30" s="185"/>
      <c r="E30" s="19"/>
      <c r="F30" s="19"/>
    </row>
    <row r="31" spans="1:6" ht="13.5" customHeight="1">
      <c r="A31" s="19"/>
      <c r="B31" s="19"/>
      <c r="C31" s="19"/>
      <c r="D31" s="185"/>
      <c r="E31" s="19"/>
      <c r="F31" s="19"/>
    </row>
    <row r="32" spans="1:6" ht="13.5" customHeight="1">
      <c r="A32" s="19"/>
      <c r="B32" s="19"/>
      <c r="C32" s="19"/>
      <c r="D32" s="185"/>
      <c r="E32" s="19"/>
      <c r="F32" s="19"/>
    </row>
    <row r="33" spans="1:6" ht="13.5" customHeight="1">
      <c r="A33" s="19"/>
      <c r="B33" s="19"/>
      <c r="C33" s="19"/>
      <c r="D33" s="185"/>
      <c r="E33" s="19"/>
      <c r="F33" s="19"/>
    </row>
    <row r="34" spans="1:6" ht="13.5" customHeight="1">
      <c r="A34" s="19"/>
      <c r="B34" s="19"/>
      <c r="C34" s="19"/>
      <c r="D34" s="185"/>
      <c r="E34" s="19"/>
      <c r="F34" s="19"/>
    </row>
    <row r="35" spans="1:6" ht="13.5" customHeight="1">
      <c r="A35" s="19"/>
      <c r="B35" s="19"/>
      <c r="C35" s="19"/>
      <c r="D35" s="185"/>
      <c r="E35" s="19"/>
      <c r="F35" s="19"/>
    </row>
    <row r="36" spans="1:6" ht="13.5" customHeight="1">
      <c r="A36" s="19"/>
      <c r="B36" s="19"/>
      <c r="C36" s="19"/>
      <c r="D36" s="185"/>
      <c r="E36" s="19"/>
      <c r="F36" s="19"/>
    </row>
    <row r="37" spans="1:6" ht="13.5" customHeight="1">
      <c r="A37" s="19"/>
      <c r="B37" s="19"/>
      <c r="C37" s="19"/>
      <c r="D37" s="185"/>
      <c r="E37" s="19"/>
      <c r="F37" s="19"/>
    </row>
    <row r="38" spans="1:6" ht="13.5" customHeight="1">
      <c r="A38" s="19"/>
      <c r="B38" s="19"/>
      <c r="C38" s="19"/>
      <c r="D38" s="185"/>
      <c r="E38" s="19"/>
      <c r="F38" s="19"/>
    </row>
  </sheetData>
  <pageMargins left="0.7" right="0.7" top="0.75" bottom="0.75" header="0.3" footer="0.3"/>
  <pageSetup orientation="portrait"/>
  <headerFooter>
    <oddFooter>&amp;C&amp;"Helvetica Neue,Regular"&amp;12&amp;K000000&amp;P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81"/>
  <sheetViews>
    <sheetView showGridLines="0" workbookViewId="0"/>
  </sheetViews>
  <sheetFormatPr baseColWidth="10" defaultColWidth="13.33203125" defaultRowHeight="17.5" customHeight="1"/>
  <cols>
    <col min="1" max="8" width="13.33203125" style="4" customWidth="1"/>
    <col min="9" max="16384" width="13.33203125" style="4"/>
  </cols>
  <sheetData>
    <row r="1" spans="1:7" ht="12.25" customHeight="1">
      <c r="A1" s="434" t="s">
        <v>15</v>
      </c>
      <c r="B1" s="434"/>
      <c r="C1" s="434"/>
      <c r="D1" s="434"/>
      <c r="E1" s="434"/>
      <c r="F1" s="434"/>
      <c r="G1" s="434"/>
    </row>
    <row r="2" spans="1:7" ht="15.25" customHeight="1"/>
    <row r="3" spans="1:7" ht="15.25" customHeight="1">
      <c r="A3" s="286" t="s">
        <v>374</v>
      </c>
      <c r="B3" s="288" t="s">
        <v>400</v>
      </c>
      <c r="C3" s="248" t="s">
        <v>304</v>
      </c>
      <c r="D3" s="249" t="s">
        <v>323</v>
      </c>
      <c r="E3" s="249" t="s">
        <v>401</v>
      </c>
      <c r="F3" s="249" t="s">
        <v>312</v>
      </c>
      <c r="G3" s="250" t="s">
        <v>365</v>
      </c>
    </row>
    <row r="4" spans="1:7" ht="15.25" customHeight="1">
      <c r="A4" s="329">
        <v>43831</v>
      </c>
      <c r="B4" s="330">
        <v>44223</v>
      </c>
      <c r="C4" s="252">
        <v>3</v>
      </c>
      <c r="D4" s="253">
        <v>332.23399999999998</v>
      </c>
      <c r="E4" s="253">
        <v>16713845</v>
      </c>
      <c r="F4" s="253">
        <v>10315622</v>
      </c>
      <c r="G4" s="254">
        <v>6398223</v>
      </c>
    </row>
    <row r="5" spans="1:7" ht="13.25" customHeight="1">
      <c r="A5" s="331">
        <v>43831</v>
      </c>
      <c r="C5" s="294">
        <v>3</v>
      </c>
      <c r="D5" s="295">
        <v>332.23399999999998</v>
      </c>
      <c r="E5" s="295">
        <v>16713845</v>
      </c>
      <c r="F5" s="295">
        <v>10315622</v>
      </c>
      <c r="G5" s="296">
        <v>6398223</v>
      </c>
    </row>
    <row r="6" spans="1:7" ht="15.25" customHeight="1">
      <c r="A6" s="332">
        <v>43862</v>
      </c>
      <c r="B6" s="333">
        <v>44228</v>
      </c>
      <c r="C6" s="334">
        <v>1</v>
      </c>
      <c r="D6" s="335">
        <v>121.274</v>
      </c>
      <c r="E6" s="335">
        <v>6633688</v>
      </c>
      <c r="F6" s="335">
        <v>6166298</v>
      </c>
      <c r="G6" s="336">
        <v>467390</v>
      </c>
    </row>
    <row r="7" spans="1:7" ht="15" customHeight="1">
      <c r="B7" s="337">
        <v>44229</v>
      </c>
      <c r="C7" s="256">
        <v>2</v>
      </c>
      <c r="D7" s="257">
        <v>226.75399999999999</v>
      </c>
      <c r="E7" s="257">
        <v>11242784</v>
      </c>
      <c r="F7" s="257">
        <v>10186524</v>
      </c>
      <c r="G7" s="258">
        <v>1056260</v>
      </c>
    </row>
    <row r="8" spans="1:7" ht="15" customHeight="1">
      <c r="B8" s="337">
        <v>44230</v>
      </c>
      <c r="C8" s="256">
        <v>4</v>
      </c>
      <c r="D8" s="257">
        <v>469.30200000000002</v>
      </c>
      <c r="E8" s="257">
        <v>19752013</v>
      </c>
      <c r="F8" s="257">
        <v>18047374</v>
      </c>
      <c r="G8" s="258">
        <v>1704639</v>
      </c>
    </row>
    <row r="9" spans="1:7" ht="15" customHeight="1">
      <c r="B9" s="337">
        <v>44231</v>
      </c>
      <c r="C9" s="256">
        <v>1</v>
      </c>
      <c r="D9" s="257">
        <v>121.274</v>
      </c>
      <c r="E9" s="257">
        <v>4062679</v>
      </c>
      <c r="F9" s="257">
        <v>3692795</v>
      </c>
      <c r="G9" s="258">
        <v>369884</v>
      </c>
    </row>
    <row r="10" spans="1:7" ht="15" customHeight="1">
      <c r="B10" s="337">
        <v>44232</v>
      </c>
      <c r="C10" s="256">
        <v>1</v>
      </c>
      <c r="D10" s="257">
        <v>121.274</v>
      </c>
      <c r="E10" s="257">
        <v>6762117</v>
      </c>
      <c r="F10" s="257">
        <v>6249967</v>
      </c>
      <c r="G10" s="258">
        <v>512150</v>
      </c>
    </row>
    <row r="11" spans="1:7" ht="15" customHeight="1">
      <c r="B11" s="337">
        <v>44233</v>
      </c>
      <c r="C11" s="256">
        <v>1</v>
      </c>
      <c r="D11" s="257">
        <v>121.274</v>
      </c>
      <c r="E11" s="257">
        <v>5978808</v>
      </c>
      <c r="F11" s="257">
        <v>5417311</v>
      </c>
      <c r="G11" s="258">
        <v>561497</v>
      </c>
    </row>
    <row r="12" spans="1:7" ht="15" customHeight="1">
      <c r="B12" s="337">
        <v>44235</v>
      </c>
      <c r="C12" s="256">
        <v>2</v>
      </c>
      <c r="D12" s="257">
        <v>242.548</v>
      </c>
      <c r="E12" s="257">
        <v>9883831</v>
      </c>
      <c r="F12" s="257">
        <v>8968426</v>
      </c>
      <c r="G12" s="258">
        <v>915405</v>
      </c>
    </row>
    <row r="13" spans="1:7" ht="15" customHeight="1">
      <c r="B13" s="337">
        <v>44236</v>
      </c>
      <c r="C13" s="256">
        <v>3</v>
      </c>
      <c r="D13" s="257">
        <v>363.822</v>
      </c>
      <c r="E13" s="257">
        <v>17668045</v>
      </c>
      <c r="F13" s="257">
        <v>16138059</v>
      </c>
      <c r="G13" s="258">
        <v>1529986</v>
      </c>
    </row>
    <row r="14" spans="1:7" ht="15" customHeight="1">
      <c r="B14" s="337">
        <v>44238</v>
      </c>
      <c r="C14" s="256">
        <v>1</v>
      </c>
      <c r="D14" s="257">
        <v>109.613</v>
      </c>
      <c r="E14" s="257">
        <v>5042198</v>
      </c>
      <c r="F14" s="257">
        <v>4570859</v>
      </c>
      <c r="G14" s="258">
        <v>471339</v>
      </c>
    </row>
    <row r="15" spans="1:7" ht="15" customHeight="1">
      <c r="B15" s="337">
        <v>44242</v>
      </c>
      <c r="C15" s="256">
        <v>3</v>
      </c>
      <c r="D15" s="257">
        <v>363.822</v>
      </c>
      <c r="E15" s="257">
        <v>12006126</v>
      </c>
      <c r="F15" s="257">
        <v>9281436</v>
      </c>
      <c r="G15" s="258">
        <v>2724690</v>
      </c>
    </row>
    <row r="16" spans="1:7" ht="15" customHeight="1">
      <c r="B16" s="337">
        <v>44243</v>
      </c>
      <c r="C16" s="256">
        <v>1</v>
      </c>
      <c r="D16" s="257">
        <v>121.274</v>
      </c>
      <c r="E16" s="257">
        <v>4982300</v>
      </c>
      <c r="F16" s="257">
        <v>4520452</v>
      </c>
      <c r="G16" s="258">
        <v>461848</v>
      </c>
    </row>
    <row r="17" spans="1:7" ht="15" customHeight="1">
      <c r="B17" s="337">
        <v>44244</v>
      </c>
      <c r="C17" s="256">
        <v>3</v>
      </c>
      <c r="D17" s="257">
        <v>363.822</v>
      </c>
      <c r="E17" s="257">
        <v>17099634</v>
      </c>
      <c r="F17" s="257">
        <v>14035930</v>
      </c>
      <c r="G17" s="258">
        <v>3063704</v>
      </c>
    </row>
    <row r="18" spans="1:7" ht="15" customHeight="1">
      <c r="B18" s="337">
        <v>44245</v>
      </c>
      <c r="C18" s="256">
        <v>2</v>
      </c>
      <c r="D18" s="257">
        <v>242.548</v>
      </c>
      <c r="E18" s="257">
        <v>13012742</v>
      </c>
      <c r="F18" s="257">
        <v>12066093</v>
      </c>
      <c r="G18" s="258">
        <v>946649</v>
      </c>
    </row>
    <row r="19" spans="1:7" ht="15" customHeight="1">
      <c r="B19" s="337">
        <v>44246</v>
      </c>
      <c r="C19" s="256">
        <v>2</v>
      </c>
      <c r="D19" s="257">
        <v>242.548</v>
      </c>
      <c r="E19" s="257">
        <v>11278482</v>
      </c>
      <c r="F19" s="257">
        <v>10223390</v>
      </c>
      <c r="G19" s="258">
        <v>1055092</v>
      </c>
    </row>
    <row r="20" spans="1:7" ht="15" customHeight="1">
      <c r="B20" s="337">
        <v>44247</v>
      </c>
      <c r="C20" s="256">
        <v>1</v>
      </c>
      <c r="D20" s="257">
        <v>121.274</v>
      </c>
      <c r="E20" s="257">
        <v>5512389</v>
      </c>
      <c r="F20" s="257">
        <v>5157128</v>
      </c>
      <c r="G20" s="258">
        <v>355261</v>
      </c>
    </row>
    <row r="21" spans="1:7" ht="15" customHeight="1">
      <c r="B21" s="337">
        <v>44249</v>
      </c>
      <c r="C21" s="256">
        <v>2</v>
      </c>
      <c r="D21" s="257">
        <v>226.75399999999999</v>
      </c>
      <c r="E21" s="257">
        <v>11635422</v>
      </c>
      <c r="F21" s="257">
        <v>9016029</v>
      </c>
      <c r="G21" s="258">
        <v>2619393</v>
      </c>
    </row>
    <row r="22" spans="1:7" ht="15" customHeight="1">
      <c r="B22" s="337">
        <v>44252</v>
      </c>
      <c r="C22" s="256">
        <v>1</v>
      </c>
      <c r="D22" s="257">
        <v>121.274</v>
      </c>
      <c r="E22" s="257">
        <v>5821152</v>
      </c>
      <c r="F22" s="257">
        <v>4713411</v>
      </c>
      <c r="G22" s="258">
        <v>1107741</v>
      </c>
    </row>
    <row r="23" spans="1:7" ht="15" customHeight="1">
      <c r="B23" s="337">
        <v>44253</v>
      </c>
      <c r="C23" s="256">
        <v>3</v>
      </c>
      <c r="D23" s="257">
        <v>332.23399999999998</v>
      </c>
      <c r="E23" s="257">
        <v>13765343</v>
      </c>
      <c r="F23" s="257">
        <v>12488484</v>
      </c>
      <c r="G23" s="258">
        <v>1276859</v>
      </c>
    </row>
    <row r="24" spans="1:7" ht="15" customHeight="1">
      <c r="B24" s="337">
        <v>44255</v>
      </c>
      <c r="C24" s="256">
        <v>1</v>
      </c>
      <c r="D24" s="257">
        <v>121.274</v>
      </c>
      <c r="E24" s="257">
        <v>5881789</v>
      </c>
      <c r="F24" s="257">
        <v>5329993</v>
      </c>
      <c r="G24" s="258">
        <v>551796</v>
      </c>
    </row>
    <row r="25" spans="1:7" ht="13.25" customHeight="1">
      <c r="A25" s="331">
        <v>43862</v>
      </c>
      <c r="C25" s="294">
        <v>35</v>
      </c>
      <c r="D25" s="295">
        <v>4153.9589999999998</v>
      </c>
      <c r="E25" s="295">
        <v>188021542</v>
      </c>
      <c r="F25" s="295">
        <v>166269959</v>
      </c>
      <c r="G25" s="296">
        <v>21751583</v>
      </c>
    </row>
    <row r="26" spans="1:7" ht="15.25" customHeight="1">
      <c r="A26" s="332">
        <v>43891</v>
      </c>
      <c r="B26" s="333">
        <v>44256</v>
      </c>
      <c r="C26" s="334">
        <v>1</v>
      </c>
      <c r="D26" s="335">
        <v>121.274</v>
      </c>
      <c r="E26" s="335">
        <v>5457330</v>
      </c>
      <c r="F26" s="335">
        <v>4940017</v>
      </c>
      <c r="G26" s="336">
        <v>517313</v>
      </c>
    </row>
    <row r="27" spans="1:7" ht="15" customHeight="1">
      <c r="B27" s="337">
        <v>44257</v>
      </c>
      <c r="C27" s="256">
        <v>1</v>
      </c>
      <c r="D27" s="257">
        <v>121.274</v>
      </c>
      <c r="E27" s="257">
        <v>4244590</v>
      </c>
      <c r="F27" s="257">
        <v>1819110</v>
      </c>
      <c r="G27" s="258">
        <v>2425480</v>
      </c>
    </row>
    <row r="28" spans="1:7" ht="15" customHeight="1">
      <c r="B28" s="337">
        <v>44258</v>
      </c>
      <c r="C28" s="256">
        <v>2</v>
      </c>
      <c r="D28" s="257">
        <v>242.548</v>
      </c>
      <c r="E28" s="257">
        <v>9105252</v>
      </c>
      <c r="F28" s="257">
        <v>8338120</v>
      </c>
      <c r="G28" s="258">
        <v>767132</v>
      </c>
    </row>
    <row r="29" spans="1:7" ht="15" customHeight="1">
      <c r="B29" s="337">
        <v>44261</v>
      </c>
      <c r="C29" s="256">
        <v>3</v>
      </c>
      <c r="D29" s="257">
        <v>348.02800000000002</v>
      </c>
      <c r="E29" s="257">
        <v>13061453</v>
      </c>
      <c r="F29" s="257">
        <v>11859717</v>
      </c>
      <c r="G29" s="258">
        <v>1201736</v>
      </c>
    </row>
    <row r="30" spans="1:7" ht="15" customHeight="1">
      <c r="B30" s="337">
        <v>44263</v>
      </c>
      <c r="C30" s="256">
        <v>2</v>
      </c>
      <c r="D30" s="257">
        <v>242.548</v>
      </c>
      <c r="E30" s="257">
        <v>11278482</v>
      </c>
      <c r="F30" s="257">
        <v>7555370</v>
      </c>
      <c r="G30" s="258">
        <v>3723112</v>
      </c>
    </row>
    <row r="31" spans="1:7" ht="15" customHeight="1">
      <c r="B31" s="337">
        <v>44264</v>
      </c>
      <c r="C31" s="256">
        <v>1</v>
      </c>
      <c r="D31" s="257">
        <v>105.48</v>
      </c>
      <c r="E31" s="257">
        <v>5221211</v>
      </c>
      <c r="F31" s="257">
        <v>4730737</v>
      </c>
      <c r="G31" s="258">
        <v>490474</v>
      </c>
    </row>
    <row r="32" spans="1:7" ht="15" customHeight="1">
      <c r="B32" s="337">
        <v>44270</v>
      </c>
      <c r="C32" s="256">
        <v>4</v>
      </c>
      <c r="D32" s="257">
        <v>457.64100000000002</v>
      </c>
      <c r="E32" s="257">
        <v>18941397</v>
      </c>
      <c r="F32" s="257">
        <v>17337356</v>
      </c>
      <c r="G32" s="258">
        <v>1604041</v>
      </c>
    </row>
    <row r="33" spans="1:7" ht="15" customHeight="1">
      <c r="B33" s="337">
        <v>44271</v>
      </c>
      <c r="C33" s="256">
        <v>2</v>
      </c>
      <c r="D33" s="257">
        <v>242.548</v>
      </c>
      <c r="E33" s="257">
        <v>12429251</v>
      </c>
      <c r="F33" s="257">
        <v>11613751</v>
      </c>
      <c r="G33" s="258">
        <v>815500</v>
      </c>
    </row>
    <row r="34" spans="1:7" ht="15" customHeight="1">
      <c r="B34" s="337">
        <v>44272</v>
      </c>
      <c r="C34" s="256">
        <v>6</v>
      </c>
      <c r="D34" s="257">
        <v>711.85</v>
      </c>
      <c r="E34" s="257">
        <v>31959316</v>
      </c>
      <c r="F34" s="257">
        <v>29023230.199999999</v>
      </c>
      <c r="G34" s="258">
        <v>2936085.8</v>
      </c>
    </row>
    <row r="35" spans="1:7" ht="15" customHeight="1">
      <c r="B35" s="337">
        <v>44273</v>
      </c>
      <c r="C35" s="256">
        <v>1</v>
      </c>
      <c r="D35" s="257">
        <v>121.274</v>
      </c>
      <c r="E35" s="257">
        <v>5821152</v>
      </c>
      <c r="F35" s="257">
        <v>2607391</v>
      </c>
      <c r="G35" s="258">
        <v>3213761</v>
      </c>
    </row>
    <row r="36" spans="1:7" ht="15" customHeight="1">
      <c r="B36" s="337">
        <v>44276</v>
      </c>
      <c r="C36" s="256">
        <v>2</v>
      </c>
      <c r="D36" s="257">
        <v>242.548</v>
      </c>
      <c r="E36" s="257">
        <v>8125358</v>
      </c>
      <c r="F36" s="257">
        <v>3456308</v>
      </c>
      <c r="G36" s="258">
        <v>4669050</v>
      </c>
    </row>
    <row r="37" spans="1:7" ht="15" customHeight="1">
      <c r="B37" s="337">
        <v>44278</v>
      </c>
      <c r="C37" s="256">
        <v>1</v>
      </c>
      <c r="D37" s="257">
        <v>121.274</v>
      </c>
      <c r="E37" s="257">
        <v>5321139</v>
      </c>
      <c r="F37" s="257">
        <v>2357384</v>
      </c>
      <c r="G37" s="258">
        <v>2963755</v>
      </c>
    </row>
    <row r="38" spans="1:7" ht="15" customHeight="1">
      <c r="B38" s="337">
        <v>44279</v>
      </c>
      <c r="C38" s="256">
        <v>2</v>
      </c>
      <c r="D38" s="257">
        <v>242.548</v>
      </c>
      <c r="E38" s="257">
        <v>11869572</v>
      </c>
      <c r="F38" s="257">
        <v>10755377.380000001</v>
      </c>
      <c r="G38" s="258">
        <v>1114194.6200000001</v>
      </c>
    </row>
    <row r="39" spans="1:7" ht="15" customHeight="1">
      <c r="B39" s="337">
        <v>44280</v>
      </c>
      <c r="C39" s="256">
        <v>2</v>
      </c>
      <c r="D39" s="257">
        <v>242.548</v>
      </c>
      <c r="E39" s="257">
        <v>11884852</v>
      </c>
      <c r="F39" s="257">
        <v>5336053</v>
      </c>
      <c r="G39" s="258">
        <v>6548799</v>
      </c>
    </row>
    <row r="40" spans="1:7" ht="15" customHeight="1">
      <c r="B40" s="337">
        <v>44281</v>
      </c>
      <c r="C40" s="256">
        <v>3</v>
      </c>
      <c r="D40" s="257">
        <v>352.161</v>
      </c>
      <c r="E40" s="257">
        <v>16975102</v>
      </c>
      <c r="F40" s="257">
        <v>12716303</v>
      </c>
      <c r="G40" s="258">
        <v>4258799</v>
      </c>
    </row>
    <row r="41" spans="1:7" ht="15" customHeight="1">
      <c r="B41" s="337">
        <v>44283</v>
      </c>
      <c r="C41" s="256">
        <v>2</v>
      </c>
      <c r="D41" s="257">
        <v>242.548</v>
      </c>
      <c r="E41" s="257">
        <v>9701920</v>
      </c>
      <c r="F41" s="257">
        <v>8456920</v>
      </c>
      <c r="G41" s="258">
        <v>1245000</v>
      </c>
    </row>
    <row r="42" spans="1:7" ht="15" customHeight="1">
      <c r="B42" s="337">
        <v>44285</v>
      </c>
      <c r="C42" s="256">
        <v>1</v>
      </c>
      <c r="D42" s="257">
        <v>121.274</v>
      </c>
      <c r="E42" s="257">
        <v>6027318</v>
      </c>
      <c r="F42" s="257">
        <v>5460971</v>
      </c>
      <c r="G42" s="258">
        <v>566347</v>
      </c>
    </row>
    <row r="43" spans="1:7" ht="15" customHeight="1">
      <c r="B43" s="337">
        <v>44286</v>
      </c>
      <c r="C43" s="256">
        <v>1</v>
      </c>
      <c r="D43" s="257">
        <v>121.274</v>
      </c>
      <c r="E43" s="257">
        <v>5966681</v>
      </c>
      <c r="F43" s="257">
        <v>4724835</v>
      </c>
      <c r="G43" s="258">
        <v>1241846</v>
      </c>
    </row>
    <row r="44" spans="1:7" ht="13.25" customHeight="1">
      <c r="A44" s="331">
        <v>43891</v>
      </c>
      <c r="C44" s="294">
        <v>37</v>
      </c>
      <c r="D44" s="295">
        <v>4400.6400000000003</v>
      </c>
      <c r="E44" s="295">
        <v>193391376</v>
      </c>
      <c r="F44" s="295">
        <v>153088950.58000001</v>
      </c>
      <c r="G44" s="296">
        <v>40302425.420000002</v>
      </c>
    </row>
    <row r="45" spans="1:7" ht="15.25" customHeight="1">
      <c r="A45" s="332">
        <v>43922</v>
      </c>
      <c r="B45" s="333">
        <v>44287</v>
      </c>
      <c r="C45" s="334">
        <v>2</v>
      </c>
      <c r="D45" s="335">
        <v>242.548</v>
      </c>
      <c r="E45" s="335">
        <v>9388305</v>
      </c>
      <c r="F45" s="335">
        <v>8359084.4500000002</v>
      </c>
      <c r="G45" s="336">
        <v>1029220.55</v>
      </c>
    </row>
    <row r="46" spans="1:7" ht="15" customHeight="1">
      <c r="B46" s="337">
        <v>44290</v>
      </c>
      <c r="C46" s="256">
        <v>1</v>
      </c>
      <c r="D46" s="257">
        <v>121.274</v>
      </c>
      <c r="E46" s="257">
        <v>5863719</v>
      </c>
      <c r="F46" s="257">
        <v>5313731</v>
      </c>
      <c r="G46" s="258">
        <v>549988</v>
      </c>
    </row>
    <row r="47" spans="1:7" ht="15" customHeight="1">
      <c r="B47" s="337">
        <v>44291</v>
      </c>
      <c r="C47" s="256">
        <v>6</v>
      </c>
      <c r="D47" s="257">
        <v>727.64400000000001</v>
      </c>
      <c r="E47" s="257">
        <v>33840660</v>
      </c>
      <c r="F47" s="257">
        <v>17546209</v>
      </c>
      <c r="G47" s="258">
        <v>16294451</v>
      </c>
    </row>
    <row r="48" spans="1:7" ht="15" customHeight="1">
      <c r="B48" s="337">
        <v>44293</v>
      </c>
      <c r="C48" s="256">
        <v>1</v>
      </c>
      <c r="D48" s="257">
        <v>121.274</v>
      </c>
      <c r="E48" s="257">
        <v>6245611</v>
      </c>
      <c r="F48" s="257">
        <v>5650265.2599999998</v>
      </c>
      <c r="G48" s="258">
        <v>595345.74</v>
      </c>
    </row>
    <row r="49" spans="1:7" ht="15" customHeight="1">
      <c r="B49" s="337">
        <v>44298</v>
      </c>
      <c r="C49" s="256">
        <v>2</v>
      </c>
      <c r="D49" s="257">
        <v>242.548</v>
      </c>
      <c r="E49" s="257">
        <v>11581667</v>
      </c>
      <c r="F49" s="257">
        <v>7755469</v>
      </c>
      <c r="G49" s="258">
        <v>3826198</v>
      </c>
    </row>
    <row r="50" spans="1:7" ht="15" customHeight="1">
      <c r="B50" s="337">
        <v>44299</v>
      </c>
      <c r="C50" s="256">
        <v>2</v>
      </c>
      <c r="D50" s="257">
        <v>242.548</v>
      </c>
      <c r="E50" s="257">
        <v>9520009</v>
      </c>
      <c r="F50" s="257">
        <v>8640773</v>
      </c>
      <c r="G50" s="258">
        <v>879236</v>
      </c>
    </row>
    <row r="51" spans="1:7" ht="15" customHeight="1">
      <c r="B51" s="337">
        <v>44300</v>
      </c>
      <c r="C51" s="256">
        <v>2</v>
      </c>
      <c r="D51" s="257">
        <v>242.548</v>
      </c>
      <c r="E51" s="257">
        <v>12202226</v>
      </c>
      <c r="F51" s="257">
        <v>8420110</v>
      </c>
      <c r="G51" s="258">
        <v>3782116</v>
      </c>
    </row>
    <row r="52" spans="1:7" ht="15" customHeight="1">
      <c r="B52" s="337">
        <v>44301</v>
      </c>
      <c r="C52" s="256">
        <v>1</v>
      </c>
      <c r="D52" s="257">
        <v>121.274</v>
      </c>
      <c r="E52" s="257">
        <v>6003063</v>
      </c>
      <c r="F52" s="257">
        <v>5439136</v>
      </c>
      <c r="G52" s="258">
        <v>563927</v>
      </c>
    </row>
    <row r="53" spans="1:7" ht="15" customHeight="1">
      <c r="B53" s="337">
        <v>44302</v>
      </c>
      <c r="C53" s="256">
        <v>1</v>
      </c>
      <c r="D53" s="257">
        <v>121.274</v>
      </c>
      <c r="E53" s="257">
        <v>4002042</v>
      </c>
      <c r="F53" s="257">
        <v>1698000</v>
      </c>
      <c r="G53" s="258">
        <v>2304042</v>
      </c>
    </row>
    <row r="54" spans="1:7" ht="15" customHeight="1">
      <c r="B54" s="337">
        <v>44312</v>
      </c>
      <c r="C54" s="256">
        <v>2</v>
      </c>
      <c r="D54" s="257">
        <v>242.548</v>
      </c>
      <c r="E54" s="257">
        <v>11157208</v>
      </c>
      <c r="F54" s="257">
        <v>10114244</v>
      </c>
      <c r="G54" s="258">
        <v>1042964</v>
      </c>
    </row>
    <row r="55" spans="1:7" ht="15" customHeight="1">
      <c r="B55" s="337">
        <v>44315</v>
      </c>
      <c r="C55" s="256">
        <v>1</v>
      </c>
      <c r="D55" s="257">
        <v>121.274</v>
      </c>
      <c r="E55" s="257">
        <v>6427401</v>
      </c>
      <c r="F55" s="257">
        <v>2910515</v>
      </c>
      <c r="G55" s="258">
        <v>3516886</v>
      </c>
    </row>
    <row r="56" spans="1:7" ht="13.25" customHeight="1">
      <c r="A56" s="331">
        <v>43922</v>
      </c>
      <c r="C56" s="294">
        <v>21</v>
      </c>
      <c r="D56" s="295">
        <v>2546.7539999999999</v>
      </c>
      <c r="E56" s="295">
        <v>116231911</v>
      </c>
      <c r="F56" s="295">
        <v>81847536.709999993</v>
      </c>
      <c r="G56" s="296">
        <v>34384374.289999999</v>
      </c>
    </row>
    <row r="57" spans="1:7" ht="15.25" customHeight="1">
      <c r="A57" s="332">
        <v>43983</v>
      </c>
      <c r="B57" s="333">
        <v>44351</v>
      </c>
      <c r="C57" s="334">
        <v>1</v>
      </c>
      <c r="D57" s="335">
        <v>121.274</v>
      </c>
      <c r="E57" s="335">
        <v>5672955</v>
      </c>
      <c r="F57" s="335">
        <v>2533292</v>
      </c>
      <c r="G57" s="336">
        <v>3139663</v>
      </c>
    </row>
    <row r="58" spans="1:7" ht="15" customHeight="1">
      <c r="B58" s="337">
        <v>44354</v>
      </c>
      <c r="C58" s="256">
        <v>1</v>
      </c>
      <c r="D58" s="257">
        <v>121.274</v>
      </c>
      <c r="E58" s="257">
        <v>4002042</v>
      </c>
      <c r="F58" s="257">
        <v>3638218</v>
      </c>
      <c r="G58" s="258">
        <v>363824</v>
      </c>
    </row>
    <row r="59" spans="1:7" ht="15" customHeight="1">
      <c r="B59" s="337">
        <v>44355</v>
      </c>
      <c r="C59" s="256">
        <v>1</v>
      </c>
      <c r="D59" s="257">
        <v>121.274</v>
      </c>
      <c r="E59" s="257">
        <v>4438628</v>
      </c>
      <c r="F59" s="257">
        <v>1697836</v>
      </c>
      <c r="G59" s="258">
        <v>2740792</v>
      </c>
    </row>
    <row r="60" spans="1:7" ht="15" customHeight="1">
      <c r="B60" s="337">
        <v>44361</v>
      </c>
      <c r="C60" s="256">
        <v>1</v>
      </c>
      <c r="D60" s="257">
        <v>121.274</v>
      </c>
      <c r="E60" s="257">
        <v>4815184</v>
      </c>
      <c r="F60" s="257">
        <v>2104407</v>
      </c>
      <c r="G60" s="258">
        <v>2710777</v>
      </c>
    </row>
    <row r="61" spans="1:7" ht="15" customHeight="1">
      <c r="B61" s="337">
        <v>44364</v>
      </c>
      <c r="C61" s="256">
        <v>1</v>
      </c>
      <c r="D61" s="257">
        <v>121.274</v>
      </c>
      <c r="E61" s="257">
        <v>5490923</v>
      </c>
      <c r="F61" s="257">
        <v>4978210</v>
      </c>
      <c r="G61" s="258">
        <v>512713</v>
      </c>
    </row>
    <row r="62" spans="1:7" ht="15" customHeight="1">
      <c r="B62" s="337">
        <v>44368</v>
      </c>
      <c r="C62" s="256">
        <v>1</v>
      </c>
      <c r="D62" s="257">
        <v>121.274</v>
      </c>
      <c r="E62" s="257">
        <v>4002042</v>
      </c>
      <c r="F62" s="257">
        <v>3153123</v>
      </c>
      <c r="G62" s="258">
        <v>848919</v>
      </c>
    </row>
    <row r="63" spans="1:7" ht="15" customHeight="1">
      <c r="B63" s="337">
        <v>44372</v>
      </c>
      <c r="C63" s="256">
        <v>1</v>
      </c>
      <c r="D63" s="257">
        <v>121.274</v>
      </c>
      <c r="E63" s="257">
        <v>5457330</v>
      </c>
      <c r="F63" s="257">
        <v>4947979</v>
      </c>
      <c r="G63" s="258">
        <v>509351</v>
      </c>
    </row>
    <row r="64" spans="1:7" ht="15" customHeight="1">
      <c r="B64" s="337">
        <v>44375</v>
      </c>
      <c r="C64" s="256">
        <v>1</v>
      </c>
      <c r="D64" s="257">
        <v>121.274</v>
      </c>
      <c r="E64" s="257">
        <v>5736260</v>
      </c>
      <c r="F64" s="257">
        <v>2564945</v>
      </c>
      <c r="G64" s="258">
        <v>3171315</v>
      </c>
    </row>
    <row r="65" spans="1:7" ht="13.25" customHeight="1">
      <c r="A65" s="331">
        <v>43983</v>
      </c>
      <c r="C65" s="294">
        <v>8</v>
      </c>
      <c r="D65" s="295">
        <v>970.19200000000001</v>
      </c>
      <c r="E65" s="295">
        <v>39615364</v>
      </c>
      <c r="F65" s="295">
        <v>25618010</v>
      </c>
      <c r="G65" s="296">
        <v>13997354</v>
      </c>
    </row>
    <row r="66" spans="1:7" ht="15.25" customHeight="1">
      <c r="A66" s="332">
        <v>44013</v>
      </c>
      <c r="B66" s="333">
        <v>44379</v>
      </c>
      <c r="C66" s="334">
        <v>2</v>
      </c>
      <c r="D66" s="335">
        <v>226.75399999999999</v>
      </c>
      <c r="E66" s="335">
        <v>11109614</v>
      </c>
      <c r="F66" s="335">
        <v>7155637</v>
      </c>
      <c r="G66" s="336">
        <v>3953977</v>
      </c>
    </row>
    <row r="67" spans="1:7" ht="15" customHeight="1">
      <c r="B67" s="337">
        <v>44380</v>
      </c>
      <c r="C67" s="256">
        <v>1</v>
      </c>
      <c r="D67" s="257">
        <v>121.274</v>
      </c>
      <c r="E67" s="257">
        <v>5585032</v>
      </c>
      <c r="F67" s="257">
        <v>2489330</v>
      </c>
      <c r="G67" s="258">
        <v>3095702</v>
      </c>
    </row>
    <row r="68" spans="1:7" ht="15" customHeight="1">
      <c r="B68" s="337">
        <v>44383</v>
      </c>
      <c r="C68" s="256">
        <v>1</v>
      </c>
      <c r="D68" s="257">
        <v>121.274</v>
      </c>
      <c r="E68" s="257">
        <v>6609433</v>
      </c>
      <c r="F68" s="257">
        <v>2728665</v>
      </c>
      <c r="G68" s="258">
        <v>3880768</v>
      </c>
    </row>
    <row r="69" spans="1:7" ht="15" customHeight="1">
      <c r="B69" s="337">
        <v>44403</v>
      </c>
      <c r="C69" s="256">
        <v>1</v>
      </c>
      <c r="D69" s="257">
        <v>121.274</v>
      </c>
      <c r="E69" s="257">
        <v>6235303</v>
      </c>
      <c r="F69" s="257">
        <v>5373000</v>
      </c>
      <c r="G69" s="258">
        <v>862303</v>
      </c>
    </row>
    <row r="70" spans="1:7" ht="13.25" customHeight="1">
      <c r="A70" s="331">
        <v>44013</v>
      </c>
      <c r="C70" s="294">
        <v>5</v>
      </c>
      <c r="D70" s="295">
        <v>590.57600000000002</v>
      </c>
      <c r="E70" s="295">
        <v>29539382</v>
      </c>
      <c r="F70" s="295">
        <v>17746632</v>
      </c>
      <c r="G70" s="296">
        <v>11792750</v>
      </c>
    </row>
    <row r="71" spans="1:7" ht="15.25" customHeight="1">
      <c r="A71" s="332">
        <v>44044</v>
      </c>
      <c r="B71" s="333">
        <v>44417</v>
      </c>
      <c r="C71" s="334">
        <v>1</v>
      </c>
      <c r="D71" s="335">
        <v>121.274</v>
      </c>
      <c r="E71" s="335">
        <v>5795927</v>
      </c>
      <c r="F71" s="335">
        <v>3924794</v>
      </c>
      <c r="G71" s="336">
        <v>1871133</v>
      </c>
    </row>
    <row r="72" spans="1:7" ht="15" customHeight="1">
      <c r="B72" s="337">
        <v>44420</v>
      </c>
      <c r="C72" s="256">
        <v>1</v>
      </c>
      <c r="D72" s="257">
        <v>121.274</v>
      </c>
      <c r="E72" s="257">
        <v>3820131</v>
      </c>
      <c r="F72" s="257">
        <v>821376</v>
      </c>
      <c r="G72" s="258">
        <v>2998755</v>
      </c>
    </row>
    <row r="73" spans="1:7" ht="15" customHeight="1">
      <c r="B73" s="337">
        <v>44424</v>
      </c>
      <c r="C73" s="256">
        <v>1</v>
      </c>
      <c r="D73" s="257">
        <v>121.274</v>
      </c>
      <c r="E73" s="257">
        <v>6091350</v>
      </c>
      <c r="F73" s="257">
        <v>5518597</v>
      </c>
      <c r="G73" s="258">
        <v>572753</v>
      </c>
    </row>
    <row r="74" spans="1:7" ht="13.25" customHeight="1">
      <c r="A74" s="331">
        <v>44044</v>
      </c>
      <c r="C74" s="294">
        <v>3</v>
      </c>
      <c r="D74" s="295">
        <v>363.822</v>
      </c>
      <c r="E74" s="295">
        <v>15707408</v>
      </c>
      <c r="F74" s="295">
        <v>10264767</v>
      </c>
      <c r="G74" s="296">
        <v>5442641</v>
      </c>
    </row>
    <row r="75" spans="1:7" ht="15.25" customHeight="1">
      <c r="A75" s="332">
        <v>44075</v>
      </c>
      <c r="B75" s="333">
        <v>44446</v>
      </c>
      <c r="C75" s="334">
        <v>1</v>
      </c>
      <c r="D75" s="335">
        <v>121.274</v>
      </c>
      <c r="E75" s="335">
        <v>5699878</v>
      </c>
      <c r="F75" s="335">
        <v>5166274</v>
      </c>
      <c r="G75" s="336">
        <v>533604</v>
      </c>
    </row>
    <row r="76" spans="1:7" ht="13.25" customHeight="1">
      <c r="A76" s="331">
        <v>44075</v>
      </c>
      <c r="C76" s="294">
        <v>1</v>
      </c>
      <c r="D76" s="295">
        <v>121.274</v>
      </c>
      <c r="E76" s="295">
        <v>5699878</v>
      </c>
      <c r="F76" s="295">
        <v>5166274</v>
      </c>
      <c r="G76" s="296">
        <v>533604</v>
      </c>
    </row>
    <row r="77" spans="1:7" ht="15.25" customHeight="1">
      <c r="A77" s="332">
        <v>44105</v>
      </c>
      <c r="B77" s="333">
        <v>44471</v>
      </c>
      <c r="C77" s="334">
        <v>1</v>
      </c>
      <c r="D77" s="335">
        <v>121.274</v>
      </c>
      <c r="E77" s="335">
        <v>5699878</v>
      </c>
      <c r="F77" s="335">
        <v>5166274</v>
      </c>
      <c r="G77" s="336">
        <v>533604</v>
      </c>
    </row>
    <row r="78" spans="1:7" ht="15" customHeight="1">
      <c r="B78" s="337">
        <v>44472</v>
      </c>
      <c r="C78" s="256">
        <v>1</v>
      </c>
      <c r="D78" s="257">
        <v>121.274</v>
      </c>
      <c r="E78" s="257">
        <v>4139688</v>
      </c>
      <c r="F78" s="257">
        <v>3762103</v>
      </c>
      <c r="G78" s="258">
        <v>377585</v>
      </c>
    </row>
    <row r="79" spans="1:7" ht="15" customHeight="1">
      <c r="B79" s="337">
        <v>44480</v>
      </c>
      <c r="C79" s="256">
        <v>1</v>
      </c>
      <c r="D79" s="257">
        <v>121.274</v>
      </c>
      <c r="E79" s="257">
        <v>5497472</v>
      </c>
      <c r="F79" s="257">
        <v>4983835</v>
      </c>
      <c r="G79" s="258">
        <v>513637</v>
      </c>
    </row>
    <row r="80" spans="1:7" ht="13.25" customHeight="1">
      <c r="A80" s="338">
        <v>44105</v>
      </c>
      <c r="C80" s="260">
        <v>3</v>
      </c>
      <c r="D80" s="261">
        <v>363.822</v>
      </c>
      <c r="E80" s="261">
        <v>15337038</v>
      </c>
      <c r="F80" s="261">
        <v>13912212</v>
      </c>
      <c r="G80" s="262">
        <v>1424826</v>
      </c>
    </row>
    <row r="81" spans="1:7" ht="15.25" customHeight="1">
      <c r="A81" s="301" t="s">
        <v>305</v>
      </c>
      <c r="C81" s="264">
        <v>116</v>
      </c>
      <c r="D81" s="265">
        <v>13843.272999999999</v>
      </c>
      <c r="E81" s="265">
        <v>620257744</v>
      </c>
      <c r="F81" s="265">
        <v>484229963.29000002</v>
      </c>
      <c r="G81" s="266">
        <v>136027780.71000001</v>
      </c>
    </row>
  </sheetData>
  <mergeCells count="1">
    <mergeCell ref="A1:G1"/>
  </mergeCells>
  <pageMargins left="0.7" right="0.7" top="0.75" bottom="0.75" header="0.3" footer="0.3"/>
  <pageSetup orientation="portrait"/>
  <headerFooter>
    <oddFooter>&amp;C&amp;"Helvetica Neue,Regular"&amp;12&amp;K000000&amp;P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4"/>
  <sheetViews>
    <sheetView showGridLines="0" workbookViewId="0"/>
  </sheetViews>
  <sheetFormatPr baseColWidth="10" defaultColWidth="13.33203125" defaultRowHeight="17.5" customHeight="1"/>
  <cols>
    <col min="1" max="9" width="13.33203125" style="4" customWidth="1"/>
    <col min="10" max="16384" width="13.33203125" style="4"/>
  </cols>
  <sheetData>
    <row r="1" spans="1:8" ht="12.25" customHeight="1">
      <c r="A1" s="431" t="s">
        <v>15</v>
      </c>
      <c r="B1" s="432"/>
      <c r="C1" s="432"/>
      <c r="D1" s="432"/>
      <c r="E1" s="432"/>
      <c r="F1" s="432"/>
      <c r="G1" s="432"/>
      <c r="H1" s="275"/>
    </row>
    <row r="2" spans="1:8" ht="15.25" customHeight="1">
      <c r="A2" s="267"/>
      <c r="B2" s="268"/>
      <c r="C2" s="268"/>
      <c r="D2" s="268"/>
      <c r="E2" s="268"/>
      <c r="F2" s="268"/>
      <c r="G2" s="276"/>
      <c r="H2" s="277"/>
    </row>
    <row r="3" spans="1:8" ht="15.25" customHeight="1">
      <c r="A3" s="278"/>
      <c r="B3" s="279"/>
      <c r="C3" s="279"/>
      <c r="D3" s="279"/>
      <c r="E3" s="279"/>
      <c r="F3" s="279"/>
      <c r="G3" s="280"/>
      <c r="H3" s="277"/>
    </row>
    <row r="4" spans="1:8" ht="13.25" customHeight="1">
      <c r="A4" s="278"/>
      <c r="B4" s="279"/>
      <c r="C4" s="279"/>
      <c r="D4" s="279"/>
      <c r="E4" s="279"/>
      <c r="F4" s="279"/>
      <c r="G4" s="280"/>
      <c r="H4" s="277"/>
    </row>
    <row r="5" spans="1:8" ht="13" customHeight="1">
      <c r="A5" s="278"/>
      <c r="B5" s="279"/>
      <c r="C5" s="279"/>
      <c r="D5" s="279"/>
      <c r="E5" s="279"/>
      <c r="F5" s="279"/>
      <c r="G5" s="280"/>
      <c r="H5" s="277"/>
    </row>
    <row r="6" spans="1:8" ht="13" customHeight="1">
      <c r="A6" s="278"/>
      <c r="B6" s="279"/>
      <c r="C6" s="279"/>
      <c r="D6" s="279"/>
      <c r="E6" s="279"/>
      <c r="F6" s="279"/>
      <c r="G6" s="280"/>
      <c r="H6" s="277"/>
    </row>
    <row r="7" spans="1:8" ht="13" customHeight="1">
      <c r="A7" s="278"/>
      <c r="B7" s="279"/>
      <c r="C7" s="279"/>
      <c r="D7" s="279"/>
      <c r="E7" s="279"/>
      <c r="F7" s="279"/>
      <c r="G7" s="280"/>
      <c r="H7" s="277"/>
    </row>
    <row r="8" spans="1:8" ht="13" customHeight="1">
      <c r="A8" s="278"/>
      <c r="B8" s="279"/>
      <c r="C8" s="279"/>
      <c r="D8" s="279"/>
      <c r="E8" s="279"/>
      <c r="F8" s="279"/>
      <c r="G8" s="280"/>
      <c r="H8" s="277"/>
    </row>
    <row r="9" spans="1:8" ht="13" customHeight="1">
      <c r="A9" s="278"/>
      <c r="B9" s="279"/>
      <c r="C9" s="279"/>
      <c r="D9" s="279"/>
      <c r="E9" s="279"/>
      <c r="F9" s="279"/>
      <c r="G9" s="280"/>
      <c r="H9" s="277"/>
    </row>
    <row r="10" spans="1:8" ht="13" customHeight="1">
      <c r="A10" s="278"/>
      <c r="B10" s="279"/>
      <c r="C10" s="279"/>
      <c r="D10" s="279"/>
      <c r="E10" s="279"/>
      <c r="F10" s="279"/>
      <c r="G10" s="280"/>
      <c r="H10" s="277"/>
    </row>
    <row r="11" spans="1:8" ht="13" customHeight="1">
      <c r="A11" s="278"/>
      <c r="B11" s="279"/>
      <c r="C11" s="279"/>
      <c r="D11" s="279"/>
      <c r="E11" s="279"/>
      <c r="F11" s="279"/>
      <c r="G11" s="280"/>
      <c r="H11" s="277"/>
    </row>
    <row r="12" spans="1:8" ht="13.25" customHeight="1">
      <c r="A12" s="278"/>
      <c r="B12" s="279"/>
      <c r="C12" s="279"/>
      <c r="D12" s="279"/>
      <c r="E12" s="279"/>
      <c r="F12" s="279"/>
      <c r="G12" s="280"/>
      <c r="H12" s="277"/>
    </row>
    <row r="13" spans="1:8" ht="15.25" customHeight="1">
      <c r="A13" s="281"/>
      <c r="B13" s="302"/>
      <c r="C13" s="282"/>
      <c r="D13" s="282"/>
      <c r="E13" s="282"/>
      <c r="F13" s="282"/>
      <c r="G13" s="283"/>
      <c r="H13" s="277"/>
    </row>
    <row r="14" spans="1:8" ht="13.5" customHeight="1">
      <c r="A14" s="284"/>
      <c r="B14" s="303"/>
      <c r="C14" s="285"/>
      <c r="D14" s="285"/>
      <c r="E14" s="285"/>
      <c r="F14" s="285"/>
      <c r="G14" s="285"/>
      <c r="H14" s="272"/>
    </row>
  </sheetData>
  <mergeCells count="1">
    <mergeCell ref="A1:G1"/>
  </mergeCells>
  <pageMargins left="0.7" right="0.7" top="0.75" bottom="0.75" header="0.3" footer="0.3"/>
  <pageSetup orientation="portrait"/>
  <headerFooter>
    <oddFooter>&amp;C&amp;"Helvetica Neue,Regular"&amp;12&amp;K000000&amp;P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216"/>
  <sheetViews>
    <sheetView showGridLines="0" workbookViewId="0"/>
  </sheetViews>
  <sheetFormatPr baseColWidth="10" defaultColWidth="9.1640625" defaultRowHeight="12" customHeight="1"/>
  <cols>
    <col min="1" max="1" width="5.33203125" style="4" customWidth="1"/>
    <col min="2" max="2" width="11.5" style="4" customWidth="1"/>
    <col min="3" max="3" width="20.1640625" style="4" customWidth="1"/>
    <col min="4" max="4" width="10" style="4" customWidth="1"/>
    <col min="5" max="5" width="8" style="4" customWidth="1"/>
    <col min="6" max="8" width="13.33203125" style="4" customWidth="1"/>
    <col min="9" max="11" width="9.1640625" style="4" customWidth="1"/>
    <col min="12" max="12" width="9.5" style="4" customWidth="1"/>
    <col min="13" max="13" width="9.1640625" style="4" customWidth="1"/>
    <col min="14" max="16384" width="9.1640625" style="4"/>
  </cols>
  <sheetData>
    <row r="1" spans="1:12" ht="13.5" customHeight="1">
      <c r="A1" s="44"/>
      <c r="B1" s="44"/>
      <c r="C1" s="44"/>
      <c r="D1" s="44"/>
      <c r="E1" s="44"/>
      <c r="F1" s="44"/>
      <c r="G1" s="44"/>
      <c r="H1" s="44"/>
      <c r="I1" s="19"/>
      <c r="J1" s="19"/>
      <c r="K1" s="19"/>
      <c r="L1" s="19"/>
    </row>
    <row r="2" spans="1:12" ht="24" customHeight="1">
      <c r="A2" s="339" t="s">
        <v>403</v>
      </c>
      <c r="B2" s="339" t="s">
        <v>404</v>
      </c>
      <c r="C2" s="339" t="s">
        <v>405</v>
      </c>
      <c r="D2" s="339" t="s">
        <v>353</v>
      </c>
      <c r="E2" s="339" t="s">
        <v>406</v>
      </c>
      <c r="F2" s="339" t="s">
        <v>363</v>
      </c>
      <c r="G2" s="339" t="s">
        <v>267</v>
      </c>
      <c r="H2" s="339" t="s">
        <v>407</v>
      </c>
      <c r="I2" s="126" t="s">
        <v>408</v>
      </c>
      <c r="J2" s="24" t="s">
        <v>408</v>
      </c>
      <c r="K2" s="24" t="s">
        <v>408</v>
      </c>
      <c r="L2" s="24" t="s">
        <v>408</v>
      </c>
    </row>
    <row r="3" spans="1:12" ht="9" hidden="1" customHeight="1">
      <c r="A3" s="340">
        <v>1</v>
      </c>
      <c r="B3" s="177" t="s">
        <v>409</v>
      </c>
      <c r="C3" s="177" t="s">
        <v>410</v>
      </c>
      <c r="D3" s="341">
        <v>44355</v>
      </c>
      <c r="E3" s="342">
        <v>121.274</v>
      </c>
      <c r="F3" s="89">
        <v>4438628.2</v>
      </c>
      <c r="G3" s="89">
        <v>1697836</v>
      </c>
      <c r="H3" s="89">
        <f t="shared" ref="H3:H34" si="0">F3-G3</f>
        <v>2740792.2</v>
      </c>
      <c r="I3" s="313">
        <f t="shared" ref="I3:I34" si="1">G3/F3</f>
        <v>0.38251367843785605</v>
      </c>
      <c r="J3" s="19"/>
      <c r="K3" s="19"/>
      <c r="L3" s="19"/>
    </row>
    <row r="4" spans="1:12" ht="9" hidden="1" customHeight="1">
      <c r="A4" s="340">
        <v>2</v>
      </c>
      <c r="B4" s="177" t="s">
        <v>411</v>
      </c>
      <c r="C4" s="177" t="s">
        <v>412</v>
      </c>
      <c r="D4" s="341">
        <v>44236</v>
      </c>
      <c r="E4" s="342">
        <v>121.274</v>
      </c>
      <c r="F4" s="89">
        <v>5509114.1979999999</v>
      </c>
      <c r="G4" s="89">
        <v>4994581</v>
      </c>
      <c r="H4" s="89">
        <f t="shared" si="0"/>
        <v>514533.19799999986</v>
      </c>
      <c r="I4" s="313">
        <f t="shared" si="1"/>
        <v>0.90660327967302012</v>
      </c>
      <c r="J4" s="19"/>
      <c r="K4" s="19"/>
      <c r="L4" s="19"/>
    </row>
    <row r="5" spans="1:12" ht="9" hidden="1" customHeight="1">
      <c r="A5" s="340">
        <v>3</v>
      </c>
      <c r="B5" s="177" t="s">
        <v>413</v>
      </c>
      <c r="C5" s="177" t="s">
        <v>414</v>
      </c>
      <c r="D5" s="341">
        <v>44272</v>
      </c>
      <c r="E5" s="342">
        <v>121.274</v>
      </c>
      <c r="F5" s="89">
        <v>5881789.2000000002</v>
      </c>
      <c r="G5" s="89">
        <v>5376562</v>
      </c>
      <c r="H5" s="89">
        <f t="shared" si="0"/>
        <v>505227.20000000019</v>
      </c>
      <c r="I5" s="313">
        <f t="shared" si="1"/>
        <v>0.91410314398890724</v>
      </c>
      <c r="J5" s="19"/>
      <c r="K5" s="19"/>
      <c r="L5" s="19"/>
    </row>
    <row r="6" spans="1:12" ht="9" hidden="1" customHeight="1">
      <c r="A6" s="340">
        <v>4</v>
      </c>
      <c r="B6" s="177" t="s">
        <v>415</v>
      </c>
      <c r="C6" s="177" t="s">
        <v>416</v>
      </c>
      <c r="D6" s="341">
        <v>44272</v>
      </c>
      <c r="E6" s="342">
        <v>121.274</v>
      </c>
      <c r="F6" s="89">
        <v>5881789.2000000002</v>
      </c>
      <c r="G6" s="89">
        <v>5329694</v>
      </c>
      <c r="H6" s="89">
        <f t="shared" si="0"/>
        <v>552095.20000000019</v>
      </c>
      <c r="I6" s="313">
        <f t="shared" si="1"/>
        <v>0.90613482033664172</v>
      </c>
      <c r="J6" s="19"/>
      <c r="K6" s="19"/>
      <c r="L6" s="19"/>
    </row>
    <row r="7" spans="1:12" ht="9" hidden="1" customHeight="1">
      <c r="A7" s="340">
        <v>5</v>
      </c>
      <c r="B7" s="177" t="s">
        <v>417</v>
      </c>
      <c r="C7" s="177" t="s">
        <v>418</v>
      </c>
      <c r="D7" s="341">
        <v>44287</v>
      </c>
      <c r="E7" s="342">
        <v>121.274</v>
      </c>
      <c r="F7" s="89">
        <v>4002042.2</v>
      </c>
      <c r="G7" s="89">
        <v>3638218</v>
      </c>
      <c r="H7" s="89">
        <f t="shared" si="0"/>
        <v>363824.20000000019</v>
      </c>
      <c r="I7" s="313">
        <f t="shared" si="1"/>
        <v>0.90909036391470333</v>
      </c>
      <c r="J7" s="19"/>
      <c r="K7" s="19"/>
      <c r="L7" s="19"/>
    </row>
    <row r="8" spans="1:12" ht="9" hidden="1" customHeight="1">
      <c r="A8" s="340">
        <v>6</v>
      </c>
      <c r="B8" s="177" t="s">
        <v>419</v>
      </c>
      <c r="C8" s="177" t="s">
        <v>420</v>
      </c>
      <c r="D8" s="341">
        <v>44372</v>
      </c>
      <c r="E8" s="342">
        <v>121.274</v>
      </c>
      <c r="F8" s="89">
        <v>5457330.2000000002</v>
      </c>
      <c r="G8" s="89">
        <v>4947979</v>
      </c>
      <c r="H8" s="89">
        <f t="shared" si="0"/>
        <v>509351.20000000019</v>
      </c>
      <c r="I8" s="313">
        <f t="shared" si="1"/>
        <v>0.90666659679122952</v>
      </c>
      <c r="J8" s="19"/>
      <c r="K8" s="19"/>
      <c r="L8" s="19"/>
    </row>
    <row r="9" spans="1:12" ht="9" hidden="1" customHeight="1">
      <c r="A9" s="340">
        <v>7</v>
      </c>
      <c r="B9" s="177" t="s">
        <v>421</v>
      </c>
      <c r="C9" s="177" t="s">
        <v>422</v>
      </c>
      <c r="D9" s="341">
        <v>44253</v>
      </c>
      <c r="E9" s="342">
        <v>121.274</v>
      </c>
      <c r="F9" s="89">
        <v>5639241.2000000002</v>
      </c>
      <c r="G9" s="89">
        <v>5111698</v>
      </c>
      <c r="H9" s="89">
        <f t="shared" si="0"/>
        <v>527543.20000000019</v>
      </c>
      <c r="I9" s="313">
        <f t="shared" si="1"/>
        <v>0.90645138569352202</v>
      </c>
      <c r="J9" s="19"/>
      <c r="K9" s="19"/>
      <c r="L9" s="19"/>
    </row>
    <row r="10" spans="1:12" ht="9" hidden="1" customHeight="1">
      <c r="A10" s="340">
        <v>8</v>
      </c>
      <c r="B10" s="177" t="s">
        <v>423</v>
      </c>
      <c r="C10" s="177" t="s">
        <v>424</v>
      </c>
      <c r="D10" s="341">
        <v>44244</v>
      </c>
      <c r="E10" s="342">
        <v>121.274</v>
      </c>
      <c r="F10" s="89">
        <v>5821152.2000000002</v>
      </c>
      <c r="G10" s="89">
        <v>5275417</v>
      </c>
      <c r="H10" s="89">
        <f t="shared" si="0"/>
        <v>545735.20000000019</v>
      </c>
      <c r="I10" s="313">
        <f t="shared" si="1"/>
        <v>0.90624962528895914</v>
      </c>
      <c r="J10" s="19"/>
      <c r="K10" s="19"/>
      <c r="L10" s="19"/>
    </row>
    <row r="11" spans="1:12" ht="9" hidden="1" customHeight="1">
      <c r="A11" s="340">
        <v>9</v>
      </c>
      <c r="B11" s="177" t="s">
        <v>425</v>
      </c>
      <c r="C11" s="177" t="s">
        <v>426</v>
      </c>
      <c r="D11" s="341">
        <v>44236</v>
      </c>
      <c r="E11" s="342">
        <v>121.274</v>
      </c>
      <c r="F11" s="89">
        <v>5821152.2000000002</v>
      </c>
      <c r="G11" s="89">
        <v>5275417</v>
      </c>
      <c r="H11" s="89">
        <f t="shared" si="0"/>
        <v>545735.20000000019</v>
      </c>
      <c r="I11" s="313">
        <f t="shared" si="1"/>
        <v>0.90624962528895914</v>
      </c>
      <c r="J11" s="19"/>
      <c r="K11" s="19"/>
      <c r="L11" s="19"/>
    </row>
    <row r="12" spans="1:12" ht="9" hidden="1" customHeight="1">
      <c r="A12" s="340">
        <v>10</v>
      </c>
      <c r="B12" s="177" t="s">
        <v>427</v>
      </c>
      <c r="C12" s="177" t="s">
        <v>428</v>
      </c>
      <c r="D12" s="341">
        <v>44354</v>
      </c>
      <c r="E12" s="342">
        <v>121.274</v>
      </c>
      <c r="F12" s="89">
        <v>4002042.2</v>
      </c>
      <c r="G12" s="89">
        <v>3638218</v>
      </c>
      <c r="H12" s="89">
        <f t="shared" si="0"/>
        <v>363824.20000000019</v>
      </c>
      <c r="I12" s="313">
        <f t="shared" si="1"/>
        <v>0.90909036391470333</v>
      </c>
      <c r="J12" s="19"/>
      <c r="K12" s="19"/>
      <c r="L12" s="19"/>
    </row>
    <row r="13" spans="1:12" ht="9" hidden="1" customHeight="1">
      <c r="A13" s="340">
        <v>11</v>
      </c>
      <c r="B13" s="177" t="s">
        <v>429</v>
      </c>
      <c r="C13" s="177" t="s">
        <v>430</v>
      </c>
      <c r="D13" s="341">
        <v>44229</v>
      </c>
      <c r="E13" s="342">
        <v>121.274</v>
      </c>
      <c r="F13" s="89">
        <v>5863355.5520000001</v>
      </c>
      <c r="G13" s="89">
        <v>5313398</v>
      </c>
      <c r="H13" s="89">
        <f t="shared" si="0"/>
        <v>549957.55200000014</v>
      </c>
      <c r="I13" s="313">
        <f t="shared" si="1"/>
        <v>0.90620429767176425</v>
      </c>
      <c r="J13" s="19"/>
      <c r="K13" s="19"/>
      <c r="L13" s="19"/>
    </row>
    <row r="14" spans="1:12" ht="9" hidden="1" customHeight="1">
      <c r="A14" s="340">
        <v>12</v>
      </c>
      <c r="B14" s="177" t="s">
        <v>431</v>
      </c>
      <c r="C14" s="177" t="s">
        <v>432</v>
      </c>
      <c r="D14" s="341">
        <v>44223</v>
      </c>
      <c r="E14" s="342">
        <v>121.274</v>
      </c>
      <c r="F14" s="89">
        <v>6124337.2000000002</v>
      </c>
      <c r="G14" s="89">
        <v>5548288</v>
      </c>
      <c r="H14" s="89">
        <f t="shared" si="0"/>
        <v>576049.20000000019</v>
      </c>
      <c r="I14" s="313">
        <f t="shared" si="1"/>
        <v>0.9059409726819091</v>
      </c>
      <c r="J14" s="19"/>
      <c r="K14" s="19"/>
      <c r="L14" s="19"/>
    </row>
    <row r="15" spans="1:12" ht="9" hidden="1" customHeight="1">
      <c r="A15" s="340">
        <v>13</v>
      </c>
      <c r="B15" s="177" t="s">
        <v>433</v>
      </c>
      <c r="C15" s="177" t="s">
        <v>434</v>
      </c>
      <c r="D15" s="341">
        <v>44298</v>
      </c>
      <c r="E15" s="342">
        <v>121.274</v>
      </c>
      <c r="F15" s="89">
        <v>5578604.2000000002</v>
      </c>
      <c r="G15" s="89">
        <v>5057123</v>
      </c>
      <c r="H15" s="89">
        <f t="shared" si="0"/>
        <v>521481.20000000019</v>
      </c>
      <c r="I15" s="313">
        <f t="shared" si="1"/>
        <v>0.90652120471282038</v>
      </c>
      <c r="J15" s="19"/>
      <c r="K15" s="19"/>
      <c r="L15" s="19"/>
    </row>
    <row r="16" spans="1:12" ht="9" hidden="1" customHeight="1">
      <c r="A16" s="340">
        <v>14</v>
      </c>
      <c r="B16" s="177" t="s">
        <v>435</v>
      </c>
      <c r="C16" s="177" t="s">
        <v>436</v>
      </c>
      <c r="D16" s="341">
        <v>44270</v>
      </c>
      <c r="E16" s="342">
        <v>121.274</v>
      </c>
      <c r="F16" s="89">
        <v>4002042.2</v>
      </c>
      <c r="G16" s="89">
        <v>3638218</v>
      </c>
      <c r="H16" s="89">
        <f t="shared" si="0"/>
        <v>363824.20000000019</v>
      </c>
      <c r="I16" s="313">
        <f t="shared" si="1"/>
        <v>0.90909036391470333</v>
      </c>
      <c r="J16" s="19"/>
      <c r="K16" s="19"/>
      <c r="L16" s="19"/>
    </row>
    <row r="17" spans="1:12" ht="9" hidden="1" customHeight="1">
      <c r="A17" s="340">
        <v>15</v>
      </c>
      <c r="B17" s="177" t="s">
        <v>437</v>
      </c>
      <c r="C17" s="177" t="s">
        <v>438</v>
      </c>
      <c r="D17" s="341">
        <v>44312</v>
      </c>
      <c r="E17" s="342">
        <v>121.274</v>
      </c>
      <c r="F17" s="89">
        <v>5578604.2000000002</v>
      </c>
      <c r="G17" s="89">
        <v>5057122</v>
      </c>
      <c r="H17" s="89">
        <f t="shared" si="0"/>
        <v>521482.20000000019</v>
      </c>
      <c r="I17" s="313">
        <f t="shared" si="1"/>
        <v>0.90652102545651114</v>
      </c>
      <c r="J17" s="19"/>
      <c r="K17" s="19"/>
      <c r="L17" s="19"/>
    </row>
    <row r="18" spans="1:12" ht="9" hidden="1" customHeight="1">
      <c r="A18" s="340">
        <v>16</v>
      </c>
      <c r="B18" s="177" t="s">
        <v>439</v>
      </c>
      <c r="C18" s="177" t="s">
        <v>440</v>
      </c>
      <c r="D18" s="341">
        <v>44312</v>
      </c>
      <c r="E18" s="342">
        <v>121.274</v>
      </c>
      <c r="F18" s="89">
        <v>5578604.2000000002</v>
      </c>
      <c r="G18" s="89">
        <v>5057122</v>
      </c>
      <c r="H18" s="89">
        <f t="shared" si="0"/>
        <v>521482.20000000019</v>
      </c>
      <c r="I18" s="313">
        <f t="shared" si="1"/>
        <v>0.90652102545651114</v>
      </c>
      <c r="J18" s="19"/>
      <c r="K18" s="19"/>
      <c r="L18" s="19"/>
    </row>
    <row r="19" spans="1:12" ht="9" hidden="1" customHeight="1">
      <c r="A19" s="340">
        <v>17</v>
      </c>
      <c r="B19" s="177" t="s">
        <v>441</v>
      </c>
      <c r="C19" s="177" t="s">
        <v>442</v>
      </c>
      <c r="D19" s="341">
        <v>44261</v>
      </c>
      <c r="E19" s="342">
        <v>121.274</v>
      </c>
      <c r="F19" s="89">
        <v>5093508.2</v>
      </c>
      <c r="G19" s="89">
        <v>4620541</v>
      </c>
      <c r="H19" s="89">
        <f t="shared" si="0"/>
        <v>472967.20000000019</v>
      </c>
      <c r="I19" s="313">
        <f t="shared" si="1"/>
        <v>0.90714313564862814</v>
      </c>
      <c r="J19" s="19"/>
      <c r="K19" s="19"/>
      <c r="L19" s="19"/>
    </row>
    <row r="20" spans="1:12" ht="9" hidden="1" customHeight="1">
      <c r="A20" s="340">
        <v>18</v>
      </c>
      <c r="B20" s="177" t="s">
        <v>443</v>
      </c>
      <c r="C20" s="177" t="s">
        <v>444</v>
      </c>
      <c r="D20" s="341">
        <v>44276</v>
      </c>
      <c r="E20" s="342">
        <v>121.274</v>
      </c>
      <c r="F20" s="89">
        <v>4062679.2</v>
      </c>
      <c r="G20" s="89">
        <v>1728154</v>
      </c>
      <c r="H20" s="89">
        <f t="shared" si="0"/>
        <v>2334525.2000000002</v>
      </c>
      <c r="I20" s="313">
        <f t="shared" si="1"/>
        <v>0.42537299031634096</v>
      </c>
      <c r="J20" s="19"/>
      <c r="K20" s="19"/>
      <c r="L20" s="19"/>
    </row>
    <row r="21" spans="1:12" ht="9" hidden="1" customHeight="1">
      <c r="A21" s="340">
        <v>19</v>
      </c>
      <c r="B21" s="177" t="s">
        <v>445</v>
      </c>
      <c r="C21" s="177" t="s">
        <v>446</v>
      </c>
      <c r="D21" s="341">
        <v>44276</v>
      </c>
      <c r="E21" s="342">
        <v>121.274</v>
      </c>
      <c r="F21" s="89">
        <v>4062679.2</v>
      </c>
      <c r="G21" s="89">
        <v>1728154</v>
      </c>
      <c r="H21" s="89">
        <f t="shared" si="0"/>
        <v>2334525.2000000002</v>
      </c>
      <c r="I21" s="313">
        <f t="shared" si="1"/>
        <v>0.42537299031634096</v>
      </c>
      <c r="J21" s="19"/>
      <c r="K21" s="19"/>
      <c r="L21" s="19"/>
    </row>
    <row r="22" spans="1:12" ht="9" hidden="1" customHeight="1">
      <c r="A22" s="340">
        <v>20</v>
      </c>
      <c r="B22" s="177" t="s">
        <v>447</v>
      </c>
      <c r="C22" s="177" t="s">
        <v>448</v>
      </c>
      <c r="D22" s="341">
        <v>44315</v>
      </c>
      <c r="E22" s="342">
        <v>121.274</v>
      </c>
      <c r="F22" s="89">
        <v>6427400.926</v>
      </c>
      <c r="G22" s="89">
        <v>2910515</v>
      </c>
      <c r="H22" s="89">
        <f t="shared" si="0"/>
        <v>3516885.926</v>
      </c>
      <c r="I22" s="313">
        <f t="shared" si="1"/>
        <v>0.45282922809847448</v>
      </c>
      <c r="J22" s="19"/>
      <c r="K22" s="19"/>
      <c r="L22" s="19"/>
    </row>
    <row r="23" spans="1:12" ht="9" hidden="1" customHeight="1">
      <c r="A23" s="340">
        <v>21</v>
      </c>
      <c r="B23" s="177" t="s">
        <v>449</v>
      </c>
      <c r="C23" s="177" t="s">
        <v>448</v>
      </c>
      <c r="D23" s="341">
        <v>44379</v>
      </c>
      <c r="E23" s="342">
        <v>121.274</v>
      </c>
      <c r="F23" s="89">
        <v>6427400.926</v>
      </c>
      <c r="G23" s="89">
        <v>2910000</v>
      </c>
      <c r="H23" s="89">
        <f t="shared" si="0"/>
        <v>3517400.926</v>
      </c>
      <c r="I23" s="313">
        <f t="shared" si="1"/>
        <v>0.45274910239822186</v>
      </c>
      <c r="J23" s="19"/>
      <c r="K23" s="19"/>
      <c r="L23" s="19"/>
    </row>
    <row r="24" spans="1:12" ht="9" hidden="1" customHeight="1">
      <c r="A24" s="340">
        <v>22</v>
      </c>
      <c r="B24" s="177" t="s">
        <v>450</v>
      </c>
      <c r="C24" s="177" t="s">
        <v>451</v>
      </c>
      <c r="D24" s="341">
        <v>44417</v>
      </c>
      <c r="E24" s="342">
        <v>121.274</v>
      </c>
      <c r="F24" s="89">
        <v>5795927.2079999996</v>
      </c>
      <c r="G24" s="89">
        <v>5124794</v>
      </c>
      <c r="H24" s="89">
        <f t="shared" si="0"/>
        <v>671133.20799999963</v>
      </c>
      <c r="I24" s="313">
        <f t="shared" si="1"/>
        <v>0.88420606679227298</v>
      </c>
      <c r="J24" s="19"/>
      <c r="K24" s="19"/>
      <c r="L24" s="19"/>
    </row>
    <row r="25" spans="1:12" ht="9" hidden="1" customHeight="1">
      <c r="A25" s="340">
        <v>23</v>
      </c>
      <c r="B25" s="177" t="s">
        <v>452</v>
      </c>
      <c r="C25" s="177" t="s">
        <v>453</v>
      </c>
      <c r="D25" s="341">
        <v>44403</v>
      </c>
      <c r="E25" s="342">
        <v>121.274</v>
      </c>
      <c r="F25" s="89">
        <v>6235302.9100000001</v>
      </c>
      <c r="G25" s="89">
        <v>5648152</v>
      </c>
      <c r="H25" s="89">
        <f t="shared" si="0"/>
        <v>587150.91000000015</v>
      </c>
      <c r="I25" s="313">
        <f t="shared" si="1"/>
        <v>0.90583442080121812</v>
      </c>
      <c r="J25" s="19"/>
      <c r="K25" s="19"/>
      <c r="L25" s="19"/>
    </row>
    <row r="26" spans="1:12" ht="13.5" customHeight="1">
      <c r="A26" s="340">
        <v>24</v>
      </c>
      <c r="B26" s="177" t="s">
        <v>454</v>
      </c>
      <c r="C26" s="177" t="s">
        <v>455</v>
      </c>
      <c r="D26" s="341">
        <v>44888</v>
      </c>
      <c r="E26" s="342">
        <v>121.274</v>
      </c>
      <c r="F26" s="89">
        <v>5305980</v>
      </c>
      <c r="G26" s="89">
        <v>1560000</v>
      </c>
      <c r="H26" s="89">
        <f t="shared" si="0"/>
        <v>3745980</v>
      </c>
      <c r="I26" s="313">
        <f t="shared" si="1"/>
        <v>0.29400789298112695</v>
      </c>
      <c r="J26" s="19"/>
      <c r="K26" s="19"/>
      <c r="L26" s="91"/>
    </row>
    <row r="27" spans="1:12" ht="13.5" customHeight="1">
      <c r="A27" s="340">
        <v>25</v>
      </c>
      <c r="B27" s="177" t="s">
        <v>456</v>
      </c>
      <c r="C27" s="177" t="s">
        <v>457</v>
      </c>
      <c r="D27" s="341">
        <v>44845</v>
      </c>
      <c r="E27" s="342">
        <v>121.274</v>
      </c>
      <c r="F27" s="89">
        <v>5893916.4000000004</v>
      </c>
      <c r="G27" s="89">
        <v>2657215</v>
      </c>
      <c r="H27" s="89">
        <f t="shared" si="0"/>
        <v>3236701.4000000004</v>
      </c>
      <c r="I27" s="313">
        <f t="shared" si="1"/>
        <v>0.4508402935610013</v>
      </c>
      <c r="J27" s="19"/>
      <c r="K27" s="19"/>
      <c r="L27" s="91"/>
    </row>
    <row r="28" spans="1:12" ht="13.5" customHeight="1">
      <c r="A28" s="340">
        <v>26</v>
      </c>
      <c r="B28" s="177" t="s">
        <v>458</v>
      </c>
      <c r="C28" s="177" t="s">
        <v>459</v>
      </c>
      <c r="D28" s="341">
        <v>44865</v>
      </c>
      <c r="E28" s="342">
        <v>121.274</v>
      </c>
      <c r="F28" s="89">
        <v>6500286.4000000004</v>
      </c>
      <c r="G28" s="89">
        <v>2881470</v>
      </c>
      <c r="H28" s="89">
        <f t="shared" si="0"/>
        <v>3618816.4000000004</v>
      </c>
      <c r="I28" s="313">
        <f t="shared" si="1"/>
        <v>0.44328354516810209</v>
      </c>
      <c r="J28" s="19"/>
      <c r="K28" s="19"/>
      <c r="L28" s="91"/>
    </row>
    <row r="29" spans="1:12" ht="13.5" customHeight="1">
      <c r="A29" s="340">
        <v>27</v>
      </c>
      <c r="B29" s="177" t="s">
        <v>460</v>
      </c>
      <c r="C29" s="177" t="s">
        <v>461</v>
      </c>
      <c r="D29" s="341">
        <v>44853</v>
      </c>
      <c r="E29" s="342">
        <v>121.274</v>
      </c>
      <c r="F29" s="89">
        <v>4002042</v>
      </c>
      <c r="G29" s="89">
        <v>3098164</v>
      </c>
      <c r="H29" s="89">
        <f t="shared" si="0"/>
        <v>903878</v>
      </c>
      <c r="I29" s="313">
        <f t="shared" si="1"/>
        <v>0.77414579856983012</v>
      </c>
      <c r="J29" s="19"/>
      <c r="K29" s="19"/>
      <c r="L29" s="91"/>
    </row>
    <row r="30" spans="1:12" ht="13.5" customHeight="1">
      <c r="A30" s="340">
        <v>28</v>
      </c>
      <c r="B30" s="177" t="s">
        <v>462</v>
      </c>
      <c r="C30" s="177" t="s">
        <v>461</v>
      </c>
      <c r="D30" s="341">
        <v>44853</v>
      </c>
      <c r="E30" s="342">
        <v>121.274</v>
      </c>
      <c r="F30" s="89">
        <v>4002042</v>
      </c>
      <c r="G30" s="89">
        <v>3098164</v>
      </c>
      <c r="H30" s="89">
        <f t="shared" si="0"/>
        <v>903878</v>
      </c>
      <c r="I30" s="313">
        <f t="shared" si="1"/>
        <v>0.77414579856983012</v>
      </c>
      <c r="J30" s="19"/>
      <c r="K30" s="19"/>
      <c r="L30" s="91"/>
    </row>
    <row r="31" spans="1:12" ht="13.5" customHeight="1">
      <c r="A31" s="340">
        <v>29</v>
      </c>
      <c r="B31" s="177" t="s">
        <v>463</v>
      </c>
      <c r="C31" s="177" t="s">
        <v>464</v>
      </c>
      <c r="D31" s="341">
        <v>44875</v>
      </c>
      <c r="E31" s="342">
        <v>121.274</v>
      </c>
      <c r="F31" s="89">
        <v>4062679</v>
      </c>
      <c r="G31" s="89">
        <v>2200000</v>
      </c>
      <c r="H31" s="89">
        <f t="shared" si="0"/>
        <v>1862679</v>
      </c>
      <c r="I31" s="313">
        <f t="shared" si="1"/>
        <v>0.54151460157201692</v>
      </c>
      <c r="J31" s="19"/>
      <c r="K31" s="19"/>
      <c r="L31" s="91"/>
    </row>
    <row r="32" spans="1:12" ht="13.5" customHeight="1">
      <c r="A32" s="340">
        <v>30</v>
      </c>
      <c r="B32" s="177" t="s">
        <v>465</v>
      </c>
      <c r="C32" s="177" t="s">
        <v>466</v>
      </c>
      <c r="D32" s="341">
        <v>44894</v>
      </c>
      <c r="E32" s="342">
        <v>121.274</v>
      </c>
      <c r="F32" s="89">
        <v>4244590</v>
      </c>
      <c r="G32" s="89">
        <v>4000000</v>
      </c>
      <c r="H32" s="89">
        <f t="shared" si="0"/>
        <v>244590</v>
      </c>
      <c r="I32" s="313">
        <f t="shared" si="1"/>
        <v>0.94237605987857487</v>
      </c>
      <c r="J32" s="19"/>
      <c r="K32" s="19"/>
      <c r="L32" s="91"/>
    </row>
    <row r="33" spans="1:12" ht="13.5" customHeight="1">
      <c r="A33" s="340">
        <v>31</v>
      </c>
      <c r="B33" s="177" t="s">
        <v>467</v>
      </c>
      <c r="C33" s="177" t="s">
        <v>468</v>
      </c>
      <c r="D33" s="341">
        <v>44847</v>
      </c>
      <c r="E33" s="342">
        <v>133.15899999999999</v>
      </c>
      <c r="F33" s="89">
        <v>6571396.6500000004</v>
      </c>
      <c r="G33" s="89">
        <v>3093949</v>
      </c>
      <c r="H33" s="89">
        <f t="shared" si="0"/>
        <v>3477447.6500000004</v>
      </c>
      <c r="I33" s="313">
        <f t="shared" si="1"/>
        <v>0.47082061314926105</v>
      </c>
      <c r="J33" s="19"/>
      <c r="K33" s="19"/>
      <c r="L33" s="91"/>
    </row>
    <row r="34" spans="1:12" ht="13.5" customHeight="1">
      <c r="A34" s="340">
        <v>32</v>
      </c>
      <c r="B34" s="177" t="s">
        <v>469</v>
      </c>
      <c r="C34" s="177" t="s">
        <v>470</v>
      </c>
      <c r="D34" s="341">
        <v>44837</v>
      </c>
      <c r="E34" s="342">
        <v>133.15899999999999</v>
      </c>
      <c r="F34" s="89">
        <v>4723282.8890000004</v>
      </c>
      <c r="G34" s="89">
        <v>2226986</v>
      </c>
      <c r="H34" s="89">
        <f t="shared" si="0"/>
        <v>2496296.8890000004</v>
      </c>
      <c r="I34" s="313">
        <f t="shared" si="1"/>
        <v>0.47149113282763611</v>
      </c>
      <c r="J34" s="19"/>
      <c r="K34" s="19"/>
      <c r="L34" s="91"/>
    </row>
    <row r="35" spans="1:12" ht="13.5" customHeight="1">
      <c r="A35" s="340">
        <v>33</v>
      </c>
      <c r="B35" s="177" t="s">
        <v>471</v>
      </c>
      <c r="C35" s="177" t="s">
        <v>472</v>
      </c>
      <c r="D35" s="341">
        <v>44865</v>
      </c>
      <c r="E35" s="342">
        <v>133.15899999999999</v>
      </c>
      <c r="F35" s="89">
        <v>4394247</v>
      </c>
      <c r="G35" s="89">
        <v>3430854</v>
      </c>
      <c r="H35" s="89">
        <f t="shared" ref="H35:H66" si="2">F35-G35</f>
        <v>963393</v>
      </c>
      <c r="I35" s="313">
        <f t="shared" ref="I35:I66" si="3">G35/F35</f>
        <v>0.78076038966403116</v>
      </c>
      <c r="J35" s="19"/>
      <c r="K35" s="19"/>
      <c r="L35" s="91"/>
    </row>
    <row r="36" spans="1:12" ht="13.5" customHeight="1">
      <c r="A36" s="340">
        <v>34</v>
      </c>
      <c r="B36" s="177" t="s">
        <v>473</v>
      </c>
      <c r="C36" s="177" t="s">
        <v>474</v>
      </c>
      <c r="D36" s="341">
        <v>44844</v>
      </c>
      <c r="E36" s="342">
        <v>133.15899999999999</v>
      </c>
      <c r="F36" s="89">
        <v>6215862.1200000001</v>
      </c>
      <c r="G36" s="89">
        <v>3570307</v>
      </c>
      <c r="H36" s="89">
        <f t="shared" si="2"/>
        <v>2645555.12</v>
      </c>
      <c r="I36" s="313">
        <f t="shared" si="3"/>
        <v>0.57438645373298591</v>
      </c>
      <c r="J36" s="19"/>
      <c r="K36" s="19"/>
      <c r="L36" s="91"/>
    </row>
    <row r="37" spans="1:12" ht="9" hidden="1" customHeight="1">
      <c r="A37" s="340">
        <v>35</v>
      </c>
      <c r="B37" s="177" t="s">
        <v>475</v>
      </c>
      <c r="C37" s="177" t="s">
        <v>476</v>
      </c>
      <c r="D37" s="341">
        <v>44245</v>
      </c>
      <c r="E37" s="342">
        <v>121.274</v>
      </c>
      <c r="F37" s="89">
        <v>6694345.3910999997</v>
      </c>
      <c r="G37" s="89">
        <v>6244407</v>
      </c>
      <c r="H37" s="89">
        <f t="shared" si="2"/>
        <v>449938.39109999966</v>
      </c>
      <c r="I37" s="313">
        <f t="shared" si="3"/>
        <v>0.93278829148878639</v>
      </c>
      <c r="J37" s="19"/>
      <c r="K37" s="19"/>
      <c r="L37" s="19"/>
    </row>
    <row r="38" spans="1:12" ht="9" hidden="1" customHeight="1">
      <c r="A38" s="340">
        <v>36</v>
      </c>
      <c r="B38" s="177" t="s">
        <v>477</v>
      </c>
      <c r="C38" s="177" t="s">
        <v>478</v>
      </c>
      <c r="D38" s="341">
        <v>44286</v>
      </c>
      <c r="E38" s="342">
        <v>121.274</v>
      </c>
      <c r="F38" s="89">
        <v>5966681</v>
      </c>
      <c r="G38" s="89">
        <v>5406394</v>
      </c>
      <c r="H38" s="89">
        <f t="shared" si="2"/>
        <v>560287</v>
      </c>
      <c r="I38" s="313">
        <f t="shared" si="3"/>
        <v>0.90609737641412369</v>
      </c>
      <c r="J38" s="19"/>
      <c r="K38" s="19"/>
      <c r="L38" s="19"/>
    </row>
    <row r="39" spans="1:12" ht="9" hidden="1" customHeight="1">
      <c r="A39" s="340">
        <v>37</v>
      </c>
      <c r="B39" s="177" t="s">
        <v>479</v>
      </c>
      <c r="C39" s="177" t="s">
        <v>480</v>
      </c>
      <c r="D39" s="341">
        <v>44291</v>
      </c>
      <c r="E39" s="342">
        <v>121.274</v>
      </c>
      <c r="F39" s="89">
        <v>4900197.4440000001</v>
      </c>
      <c r="G39" s="89">
        <v>2146913</v>
      </c>
      <c r="H39" s="89">
        <f t="shared" si="2"/>
        <v>2753284.4440000001</v>
      </c>
      <c r="I39" s="313">
        <f t="shared" si="3"/>
        <v>0.43812785597624582</v>
      </c>
      <c r="J39" s="19"/>
      <c r="K39" s="19"/>
      <c r="L39" s="19"/>
    </row>
    <row r="40" spans="1:12" ht="9" hidden="1" customHeight="1">
      <c r="A40" s="340">
        <v>38</v>
      </c>
      <c r="B40" s="177" t="s">
        <v>481</v>
      </c>
      <c r="C40" s="177" t="s">
        <v>482</v>
      </c>
      <c r="D40" s="341">
        <v>44298</v>
      </c>
      <c r="E40" s="342">
        <v>121.274</v>
      </c>
      <c r="F40" s="89">
        <v>6003063.2000000002</v>
      </c>
      <c r="G40" s="89">
        <v>2698346</v>
      </c>
      <c r="H40" s="89">
        <f t="shared" si="2"/>
        <v>3304717.2</v>
      </c>
      <c r="I40" s="313">
        <f t="shared" si="3"/>
        <v>0.44949485122861937</v>
      </c>
      <c r="J40" s="19"/>
      <c r="K40" s="19"/>
      <c r="L40" s="19"/>
    </row>
    <row r="41" spans="1:12" ht="9" hidden="1" customHeight="1">
      <c r="A41" s="340">
        <v>39</v>
      </c>
      <c r="B41" s="177" t="s">
        <v>483</v>
      </c>
      <c r="C41" s="177" t="s">
        <v>482</v>
      </c>
      <c r="D41" s="341">
        <v>44291</v>
      </c>
      <c r="E41" s="342">
        <v>121.274</v>
      </c>
      <c r="F41" s="89">
        <v>6003063.2000000002</v>
      </c>
      <c r="G41" s="89">
        <v>2698346</v>
      </c>
      <c r="H41" s="89">
        <f t="shared" si="2"/>
        <v>3304717.2</v>
      </c>
      <c r="I41" s="313">
        <f t="shared" si="3"/>
        <v>0.44949485122861937</v>
      </c>
      <c r="J41" s="19"/>
      <c r="K41" s="19"/>
      <c r="L41" s="19"/>
    </row>
    <row r="42" spans="1:12" ht="9" hidden="1" customHeight="1">
      <c r="A42" s="340">
        <v>40</v>
      </c>
      <c r="B42" s="177" t="s">
        <v>484</v>
      </c>
      <c r="C42" s="177" t="s">
        <v>485</v>
      </c>
      <c r="D42" s="341">
        <v>44235</v>
      </c>
      <c r="E42" s="342">
        <v>121.274</v>
      </c>
      <c r="F42" s="89">
        <v>5821152.2000000002</v>
      </c>
      <c r="G42" s="89">
        <v>5396696</v>
      </c>
      <c r="H42" s="89">
        <f t="shared" si="2"/>
        <v>424456.20000000019</v>
      </c>
      <c r="I42" s="313">
        <f t="shared" si="3"/>
        <v>0.92708381684299546</v>
      </c>
      <c r="J42" s="19"/>
      <c r="K42" s="19"/>
      <c r="L42" s="19"/>
    </row>
    <row r="43" spans="1:12" ht="9" hidden="1" customHeight="1">
      <c r="A43" s="340">
        <v>41</v>
      </c>
      <c r="B43" s="177" t="s">
        <v>486</v>
      </c>
      <c r="C43" s="177" t="s">
        <v>487</v>
      </c>
      <c r="D43" s="341">
        <v>44291</v>
      </c>
      <c r="E43" s="342">
        <v>121.274</v>
      </c>
      <c r="F43" s="89">
        <v>5942426.2000000002</v>
      </c>
      <c r="G43" s="89">
        <v>5384569</v>
      </c>
      <c r="H43" s="89">
        <f t="shared" si="2"/>
        <v>557857.20000000019</v>
      </c>
      <c r="I43" s="313">
        <f t="shared" si="3"/>
        <v>0.9061229906397491</v>
      </c>
      <c r="J43" s="19"/>
      <c r="K43" s="19"/>
      <c r="L43" s="19"/>
    </row>
    <row r="44" spans="1:12" ht="9" hidden="1" customHeight="1">
      <c r="A44" s="340">
        <v>42</v>
      </c>
      <c r="B44" s="177" t="s">
        <v>488</v>
      </c>
      <c r="C44" s="177" t="s">
        <v>478</v>
      </c>
      <c r="D44" s="341">
        <v>44291</v>
      </c>
      <c r="E44" s="342">
        <v>121.274</v>
      </c>
      <c r="F44" s="89">
        <v>5942426.2000000002</v>
      </c>
      <c r="G44" s="89">
        <v>5384570</v>
      </c>
      <c r="H44" s="89">
        <f t="shared" si="2"/>
        <v>557856.20000000019</v>
      </c>
      <c r="I44" s="313">
        <f t="shared" si="3"/>
        <v>0.90612315892118267</v>
      </c>
      <c r="J44" s="19"/>
      <c r="K44" s="19"/>
      <c r="L44" s="19"/>
    </row>
    <row r="45" spans="1:12" ht="9" hidden="1" customHeight="1">
      <c r="A45" s="340">
        <v>43</v>
      </c>
      <c r="B45" s="177" t="s">
        <v>489</v>
      </c>
      <c r="C45" s="177" t="s">
        <v>490</v>
      </c>
      <c r="D45" s="341">
        <v>44263</v>
      </c>
      <c r="E45" s="342">
        <v>121.274</v>
      </c>
      <c r="F45" s="89">
        <v>5821152.2000000002</v>
      </c>
      <c r="G45" s="89">
        <v>2607391</v>
      </c>
      <c r="H45" s="89">
        <f t="shared" si="2"/>
        <v>3213761.2</v>
      </c>
      <c r="I45" s="313">
        <f t="shared" si="3"/>
        <v>0.447916651277388</v>
      </c>
      <c r="J45" s="19"/>
      <c r="K45" s="19"/>
      <c r="L45" s="19"/>
    </row>
    <row r="46" spans="1:12" ht="13.5" customHeight="1">
      <c r="A46" s="340">
        <v>44</v>
      </c>
      <c r="B46" s="177" t="s">
        <v>491</v>
      </c>
      <c r="C46" s="177" t="s">
        <v>492</v>
      </c>
      <c r="D46" s="341">
        <v>44845</v>
      </c>
      <c r="E46" s="342">
        <v>121.274</v>
      </c>
      <c r="F46" s="89">
        <v>4563783.1679999996</v>
      </c>
      <c r="G46" s="89">
        <v>2585576</v>
      </c>
      <c r="H46" s="89">
        <f t="shared" si="2"/>
        <v>1978207.1679999996</v>
      </c>
      <c r="I46" s="313">
        <f t="shared" si="3"/>
        <v>0.56654225339392816</v>
      </c>
      <c r="J46" s="19"/>
      <c r="K46" s="19"/>
      <c r="L46" s="91"/>
    </row>
    <row r="47" spans="1:12" ht="13.5" customHeight="1">
      <c r="A47" s="340">
        <v>45</v>
      </c>
      <c r="B47" s="177" t="s">
        <v>493</v>
      </c>
      <c r="C47" s="177" t="s">
        <v>494</v>
      </c>
      <c r="D47" s="341">
        <v>44837</v>
      </c>
      <c r="E47" s="342">
        <v>121.274</v>
      </c>
      <c r="F47" s="89">
        <v>4245924.0140000004</v>
      </c>
      <c r="G47" s="89">
        <v>2299502</v>
      </c>
      <c r="H47" s="89">
        <f t="shared" si="2"/>
        <v>1946422.0140000004</v>
      </c>
      <c r="I47" s="313">
        <f t="shared" si="3"/>
        <v>0.54157869816273163</v>
      </c>
      <c r="J47" s="19"/>
      <c r="K47" s="19"/>
      <c r="L47" s="91"/>
    </row>
    <row r="48" spans="1:12" ht="13.5" customHeight="1">
      <c r="A48" s="340">
        <v>46</v>
      </c>
      <c r="B48" s="177" t="s">
        <v>495</v>
      </c>
      <c r="C48" s="177" t="s">
        <v>496</v>
      </c>
      <c r="D48" s="341">
        <v>44838</v>
      </c>
      <c r="E48" s="342">
        <v>121.274</v>
      </c>
      <c r="F48" s="89">
        <v>6912618</v>
      </c>
      <c r="G48" s="89">
        <v>6137531</v>
      </c>
      <c r="H48" s="89">
        <f t="shared" si="2"/>
        <v>775087</v>
      </c>
      <c r="I48" s="313">
        <f t="shared" si="3"/>
        <v>0.8878735957925058</v>
      </c>
      <c r="J48" s="19"/>
      <c r="K48" s="19"/>
      <c r="L48" s="91"/>
    </row>
    <row r="49" spans="1:12" ht="13.5" customHeight="1">
      <c r="A49" s="340">
        <v>47</v>
      </c>
      <c r="B49" s="177" t="s">
        <v>497</v>
      </c>
      <c r="C49" s="177" t="s">
        <v>498</v>
      </c>
      <c r="D49" s="341">
        <v>44909</v>
      </c>
      <c r="E49" s="342">
        <v>121.274</v>
      </c>
      <c r="F49" s="89">
        <v>4006407.8640000001</v>
      </c>
      <c r="G49" s="89">
        <v>2684000</v>
      </c>
      <c r="H49" s="89">
        <f t="shared" si="2"/>
        <v>1322407.8640000001</v>
      </c>
      <c r="I49" s="313">
        <f t="shared" si="3"/>
        <v>0.66992680004384098</v>
      </c>
      <c r="J49" s="19"/>
      <c r="K49" s="19"/>
      <c r="L49" s="91"/>
    </row>
    <row r="50" spans="1:12" ht="13.5" customHeight="1">
      <c r="A50" s="340">
        <v>48</v>
      </c>
      <c r="B50" s="177" t="s">
        <v>499</v>
      </c>
      <c r="C50" s="177" t="s">
        <v>461</v>
      </c>
      <c r="D50" s="341">
        <v>44853</v>
      </c>
      <c r="E50" s="342">
        <v>121.274</v>
      </c>
      <c r="F50" s="89">
        <v>4002042</v>
      </c>
      <c r="G50" s="89">
        <v>350000</v>
      </c>
      <c r="H50" s="89">
        <f t="shared" si="2"/>
        <v>3652042</v>
      </c>
      <c r="I50" s="313">
        <f t="shared" si="3"/>
        <v>8.7455354041761676E-2</v>
      </c>
      <c r="J50" s="19"/>
      <c r="K50" s="19"/>
      <c r="L50" s="91"/>
    </row>
    <row r="51" spans="1:12" ht="13.5" customHeight="1">
      <c r="A51" s="340">
        <v>49</v>
      </c>
      <c r="B51" s="177" t="s">
        <v>500</v>
      </c>
      <c r="C51" s="177" t="s">
        <v>501</v>
      </c>
      <c r="D51" s="341">
        <v>44844</v>
      </c>
      <c r="E51" s="342">
        <v>121.274</v>
      </c>
      <c r="F51" s="89">
        <v>4825371.1859999998</v>
      </c>
      <c r="G51" s="89">
        <v>821005</v>
      </c>
      <c r="H51" s="89">
        <f t="shared" si="2"/>
        <v>4004366.1859999998</v>
      </c>
      <c r="I51" s="313">
        <f t="shared" si="3"/>
        <v>0.17014338759720857</v>
      </c>
      <c r="J51" s="19"/>
      <c r="K51" s="19"/>
      <c r="L51" s="91"/>
    </row>
    <row r="52" spans="1:12" ht="13.5" customHeight="1">
      <c r="A52" s="340">
        <v>50</v>
      </c>
      <c r="B52" s="177" t="s">
        <v>502</v>
      </c>
      <c r="C52" s="177" t="s">
        <v>503</v>
      </c>
      <c r="D52" s="341">
        <v>44865</v>
      </c>
      <c r="E52" s="342">
        <v>121.274</v>
      </c>
      <c r="F52" s="89">
        <v>4002042</v>
      </c>
      <c r="G52" s="89">
        <v>1580000</v>
      </c>
      <c r="H52" s="89">
        <f t="shared" si="2"/>
        <v>2422042</v>
      </c>
      <c r="I52" s="313">
        <f t="shared" si="3"/>
        <v>0.39479845538852415</v>
      </c>
      <c r="J52" s="19"/>
      <c r="K52" s="19"/>
      <c r="L52" s="91"/>
    </row>
    <row r="53" spans="1:12" ht="13.5" customHeight="1">
      <c r="A53" s="340">
        <v>51</v>
      </c>
      <c r="B53" s="177" t="s">
        <v>504</v>
      </c>
      <c r="C53" s="177" t="s">
        <v>505</v>
      </c>
      <c r="D53" s="341">
        <v>44847</v>
      </c>
      <c r="E53" s="342">
        <v>121.274</v>
      </c>
      <c r="F53" s="89">
        <v>4002042</v>
      </c>
      <c r="G53" s="89">
        <v>2530008</v>
      </c>
      <c r="H53" s="89">
        <f t="shared" si="2"/>
        <v>1472034</v>
      </c>
      <c r="I53" s="313">
        <f t="shared" si="3"/>
        <v>0.63217927248139827</v>
      </c>
      <c r="J53" s="19"/>
      <c r="K53" s="19"/>
      <c r="L53" s="91"/>
    </row>
    <row r="54" spans="1:12" ht="9" hidden="1" customHeight="1">
      <c r="A54" s="340">
        <v>52</v>
      </c>
      <c r="B54" s="177" t="s">
        <v>506</v>
      </c>
      <c r="C54" s="177" t="s">
        <v>507</v>
      </c>
      <c r="D54" s="341">
        <v>44945</v>
      </c>
      <c r="E54" s="342">
        <v>121.274</v>
      </c>
      <c r="F54" s="89">
        <v>6015675.4960000003</v>
      </c>
      <c r="G54" s="89">
        <v>2000000</v>
      </c>
      <c r="H54" s="89">
        <f t="shared" si="2"/>
        <v>4015675.4960000003</v>
      </c>
      <c r="I54" s="313">
        <f t="shared" si="3"/>
        <v>0.33246474171185908</v>
      </c>
      <c r="J54" s="19"/>
      <c r="K54" s="19"/>
      <c r="L54" s="91"/>
    </row>
    <row r="55" spans="1:12" ht="13.5" customHeight="1">
      <c r="A55" s="340">
        <v>53</v>
      </c>
      <c r="B55" s="177" t="s">
        <v>508</v>
      </c>
      <c r="C55" s="177" t="s">
        <v>509</v>
      </c>
      <c r="D55" s="341">
        <v>44853</v>
      </c>
      <c r="E55" s="342">
        <v>121.274</v>
      </c>
      <c r="F55" s="89">
        <v>5125403.0619999999</v>
      </c>
      <c r="G55" s="89">
        <v>2591033</v>
      </c>
      <c r="H55" s="89">
        <f t="shared" si="2"/>
        <v>2534370.0619999999</v>
      </c>
      <c r="I55" s="313">
        <f t="shared" si="3"/>
        <v>0.50552765678275158</v>
      </c>
      <c r="J55" s="19"/>
      <c r="K55" s="19"/>
      <c r="L55" s="91"/>
    </row>
    <row r="56" spans="1:12" ht="13.5" customHeight="1">
      <c r="A56" s="340">
        <v>54</v>
      </c>
      <c r="B56" s="177" t="s">
        <v>510</v>
      </c>
      <c r="C56" s="177" t="s">
        <v>461</v>
      </c>
      <c r="D56" s="341">
        <v>44866</v>
      </c>
      <c r="E56" s="342">
        <v>121.274</v>
      </c>
      <c r="F56" s="89">
        <v>4002042</v>
      </c>
      <c r="G56" s="89">
        <v>2500000</v>
      </c>
      <c r="H56" s="89">
        <f t="shared" si="2"/>
        <v>1502042</v>
      </c>
      <c r="I56" s="313">
        <f t="shared" si="3"/>
        <v>0.62468110029829771</v>
      </c>
      <c r="J56" s="19"/>
      <c r="K56" s="19"/>
      <c r="L56" s="91"/>
    </row>
    <row r="57" spans="1:12" ht="13.5" customHeight="1">
      <c r="A57" s="340">
        <v>55</v>
      </c>
      <c r="B57" s="177" t="s">
        <v>511</v>
      </c>
      <c r="C57" s="177" t="s">
        <v>512</v>
      </c>
      <c r="D57" s="341">
        <v>44838</v>
      </c>
      <c r="E57" s="342">
        <v>121.274</v>
      </c>
      <c r="F57" s="89">
        <v>4487138</v>
      </c>
      <c r="G57" s="89">
        <v>1524194</v>
      </c>
      <c r="H57" s="89">
        <f t="shared" si="2"/>
        <v>2962944</v>
      </c>
      <c r="I57" s="313">
        <f t="shared" si="3"/>
        <v>0.33968066059033619</v>
      </c>
      <c r="J57" s="19"/>
      <c r="K57" s="19"/>
      <c r="L57" s="91"/>
    </row>
    <row r="58" spans="1:12" ht="13.5" customHeight="1">
      <c r="A58" s="340">
        <v>56</v>
      </c>
      <c r="B58" s="177" t="s">
        <v>513</v>
      </c>
      <c r="C58" s="177" t="s">
        <v>514</v>
      </c>
      <c r="D58" s="341">
        <v>44853</v>
      </c>
      <c r="E58" s="342">
        <v>121.274</v>
      </c>
      <c r="F58" s="89">
        <v>4244590</v>
      </c>
      <c r="G58" s="89">
        <v>2039000</v>
      </c>
      <c r="H58" s="89">
        <f t="shared" si="2"/>
        <v>2205590</v>
      </c>
      <c r="I58" s="313">
        <f t="shared" si="3"/>
        <v>0.48037619652310354</v>
      </c>
      <c r="J58" s="19"/>
      <c r="K58" s="19"/>
      <c r="L58" s="91"/>
    </row>
    <row r="59" spans="1:12" ht="13.5" customHeight="1">
      <c r="A59" s="340">
        <v>57</v>
      </c>
      <c r="B59" s="177" t="s">
        <v>515</v>
      </c>
      <c r="C59" s="177" t="s">
        <v>516</v>
      </c>
      <c r="D59" s="341">
        <v>44853</v>
      </c>
      <c r="E59" s="342">
        <v>121.274</v>
      </c>
      <c r="F59" s="89">
        <v>4444692.0999999996</v>
      </c>
      <c r="G59" s="89">
        <v>1500000</v>
      </c>
      <c r="H59" s="89">
        <f t="shared" si="2"/>
        <v>2944692.0999999996</v>
      </c>
      <c r="I59" s="313">
        <f t="shared" si="3"/>
        <v>0.33748119470412813</v>
      </c>
      <c r="J59" s="19"/>
      <c r="K59" s="19"/>
      <c r="L59" s="91"/>
    </row>
    <row r="60" spans="1:12" ht="13.5" customHeight="1">
      <c r="A60" s="340">
        <v>58</v>
      </c>
      <c r="B60" s="177" t="s">
        <v>517</v>
      </c>
      <c r="C60" s="177" t="s">
        <v>518</v>
      </c>
      <c r="D60" s="341">
        <v>44853</v>
      </c>
      <c r="E60" s="342">
        <v>121.274</v>
      </c>
      <c r="F60" s="89">
        <v>5014679.9000000004</v>
      </c>
      <c r="G60" s="89">
        <v>1491000</v>
      </c>
      <c r="H60" s="89">
        <f t="shared" si="2"/>
        <v>3523679.9000000004</v>
      </c>
      <c r="I60" s="313">
        <f t="shared" si="3"/>
        <v>0.29732705371682844</v>
      </c>
      <c r="J60" s="19"/>
      <c r="K60" s="19"/>
      <c r="L60" s="91"/>
    </row>
    <row r="61" spans="1:12" ht="13.5" customHeight="1">
      <c r="A61" s="340">
        <v>59</v>
      </c>
      <c r="B61" s="177" t="s">
        <v>519</v>
      </c>
      <c r="C61" s="177" t="s">
        <v>520</v>
      </c>
      <c r="D61" s="341">
        <v>44889</v>
      </c>
      <c r="E61" s="342">
        <v>121.274</v>
      </c>
      <c r="F61" s="89">
        <v>4002042</v>
      </c>
      <c r="G61" s="89">
        <v>1895672</v>
      </c>
      <c r="H61" s="89">
        <f t="shared" si="2"/>
        <v>2106370</v>
      </c>
      <c r="I61" s="313">
        <f t="shared" si="3"/>
        <v>0.47367618830586983</v>
      </c>
      <c r="J61" s="19"/>
      <c r="K61" s="19"/>
      <c r="L61" s="91"/>
    </row>
    <row r="62" spans="1:12" ht="13.5" customHeight="1">
      <c r="A62" s="340">
        <v>60</v>
      </c>
      <c r="B62" s="177" t="s">
        <v>521</v>
      </c>
      <c r="C62" s="177" t="s">
        <v>522</v>
      </c>
      <c r="D62" s="341">
        <v>44889</v>
      </c>
      <c r="E62" s="342">
        <v>121.274</v>
      </c>
      <c r="F62" s="89">
        <v>4002042</v>
      </c>
      <c r="G62" s="89">
        <v>1895672</v>
      </c>
      <c r="H62" s="89">
        <f t="shared" si="2"/>
        <v>2106370</v>
      </c>
      <c r="I62" s="313">
        <f t="shared" si="3"/>
        <v>0.47367618830586983</v>
      </c>
      <c r="J62" s="19"/>
      <c r="K62" s="19"/>
      <c r="L62" s="91"/>
    </row>
    <row r="63" spans="1:12" ht="9" hidden="1" customHeight="1">
      <c r="A63" s="340">
        <v>61</v>
      </c>
      <c r="B63" s="177" t="s">
        <v>523</v>
      </c>
      <c r="C63" s="177" t="s">
        <v>524</v>
      </c>
      <c r="D63" s="341">
        <v>44930</v>
      </c>
      <c r="E63" s="342">
        <v>121.274</v>
      </c>
      <c r="F63" s="89">
        <v>4324994.6619999995</v>
      </c>
      <c r="G63" s="89">
        <v>3848836</v>
      </c>
      <c r="H63" s="89">
        <f t="shared" si="2"/>
        <v>476158.66199999955</v>
      </c>
      <c r="I63" s="313">
        <f t="shared" si="3"/>
        <v>0.88990537579535178</v>
      </c>
      <c r="J63" s="19"/>
      <c r="K63" s="19"/>
      <c r="L63" s="91"/>
    </row>
    <row r="64" spans="1:12" ht="13.5" customHeight="1">
      <c r="A64" s="340">
        <v>62</v>
      </c>
      <c r="B64" s="177" t="s">
        <v>525</v>
      </c>
      <c r="C64" s="177" t="s">
        <v>526</v>
      </c>
      <c r="D64" s="341">
        <v>44862</v>
      </c>
      <c r="E64" s="342">
        <v>121.274</v>
      </c>
      <c r="F64" s="89">
        <v>6776427.2980000004</v>
      </c>
      <c r="G64" s="89">
        <v>3016185</v>
      </c>
      <c r="H64" s="89">
        <f t="shared" si="2"/>
        <v>3760242.2980000004</v>
      </c>
      <c r="I64" s="313">
        <f t="shared" si="3"/>
        <v>0.44509958822847534</v>
      </c>
      <c r="J64" s="19"/>
      <c r="K64" s="19"/>
      <c r="L64" s="91"/>
    </row>
    <row r="65" spans="1:12" ht="13.5" customHeight="1">
      <c r="A65" s="340">
        <v>63</v>
      </c>
      <c r="B65" s="177" t="s">
        <v>527</v>
      </c>
      <c r="C65" s="177" t="s">
        <v>528</v>
      </c>
      <c r="D65" s="341">
        <v>44845</v>
      </c>
      <c r="E65" s="342">
        <v>121.274</v>
      </c>
      <c r="F65" s="89">
        <v>6215898.8700000001</v>
      </c>
      <c r="G65" s="89">
        <v>2767762</v>
      </c>
      <c r="H65" s="89">
        <f t="shared" si="2"/>
        <v>3448136.87</v>
      </c>
      <c r="I65" s="313">
        <f t="shared" si="3"/>
        <v>0.44527140127040066</v>
      </c>
      <c r="J65" s="19"/>
      <c r="K65" s="19"/>
      <c r="L65" s="91"/>
    </row>
    <row r="66" spans="1:12" ht="9" hidden="1" customHeight="1">
      <c r="A66" s="340">
        <v>64</v>
      </c>
      <c r="B66" s="177" t="s">
        <v>529</v>
      </c>
      <c r="C66" s="177" t="s">
        <v>530</v>
      </c>
      <c r="D66" s="341">
        <v>44937</v>
      </c>
      <c r="E66" s="342">
        <v>121.274</v>
      </c>
      <c r="F66" s="89">
        <v>5155115.1919999998</v>
      </c>
      <c r="G66" s="89">
        <v>2117883</v>
      </c>
      <c r="H66" s="89">
        <f t="shared" si="2"/>
        <v>3037232.1919999998</v>
      </c>
      <c r="I66" s="313">
        <f t="shared" si="3"/>
        <v>0.41083136285424832</v>
      </c>
      <c r="J66" s="19"/>
      <c r="K66" s="19"/>
      <c r="L66" s="91"/>
    </row>
    <row r="67" spans="1:12" ht="13.5" customHeight="1">
      <c r="A67" s="340">
        <v>65</v>
      </c>
      <c r="B67" s="177" t="s">
        <v>531</v>
      </c>
      <c r="C67" s="177" t="s">
        <v>532</v>
      </c>
      <c r="D67" s="341">
        <v>44904</v>
      </c>
      <c r="E67" s="342">
        <v>121.274</v>
      </c>
      <c r="F67" s="89">
        <v>5382867.7640000004</v>
      </c>
      <c r="G67" s="89">
        <v>2822751</v>
      </c>
      <c r="H67" s="89">
        <f t="shared" ref="H67:H98" si="4">F67-G67</f>
        <v>2560116.7640000004</v>
      </c>
      <c r="I67" s="313">
        <f t="shared" ref="I67:I98" si="5">G67/F67</f>
        <v>0.524395382490767</v>
      </c>
      <c r="J67" s="19"/>
      <c r="K67" s="19"/>
      <c r="L67" s="91"/>
    </row>
    <row r="68" spans="1:12" ht="13.5" customHeight="1">
      <c r="A68" s="340">
        <v>66</v>
      </c>
      <c r="B68" s="177" t="s">
        <v>533</v>
      </c>
      <c r="C68" s="177" t="s">
        <v>534</v>
      </c>
      <c r="D68" s="341">
        <v>44845</v>
      </c>
      <c r="E68" s="342">
        <v>121.274</v>
      </c>
      <c r="F68" s="89">
        <v>5649670.5640000002</v>
      </c>
      <c r="G68" s="89">
        <v>2512372</v>
      </c>
      <c r="H68" s="89">
        <f t="shared" si="4"/>
        <v>3137298.5640000002</v>
      </c>
      <c r="I68" s="313">
        <f t="shared" si="5"/>
        <v>0.44469353947980034</v>
      </c>
      <c r="J68" s="19"/>
      <c r="K68" s="19"/>
      <c r="L68" s="91"/>
    </row>
    <row r="69" spans="1:12" ht="13.5" customHeight="1">
      <c r="A69" s="340">
        <v>67</v>
      </c>
      <c r="B69" s="177" t="s">
        <v>535</v>
      </c>
      <c r="C69" s="177" t="s">
        <v>536</v>
      </c>
      <c r="D69" s="341">
        <v>44909</v>
      </c>
      <c r="E69" s="342">
        <v>121.274</v>
      </c>
      <c r="F69" s="89">
        <v>4404429.1320000002</v>
      </c>
      <c r="G69" s="89">
        <v>1942156</v>
      </c>
      <c r="H69" s="89">
        <f t="shared" si="4"/>
        <v>2462273.1320000002</v>
      </c>
      <c r="I69" s="313">
        <f t="shared" si="5"/>
        <v>0.44095521616852296</v>
      </c>
      <c r="J69" s="19"/>
      <c r="K69" s="19"/>
      <c r="L69" s="91"/>
    </row>
    <row r="70" spans="1:12" ht="13.5" customHeight="1">
      <c r="A70" s="340">
        <v>68</v>
      </c>
      <c r="B70" s="177" t="s">
        <v>537</v>
      </c>
      <c r="C70" s="177" t="s">
        <v>538</v>
      </c>
      <c r="D70" s="341">
        <v>44888</v>
      </c>
      <c r="E70" s="342">
        <v>121.274</v>
      </c>
      <c r="F70" s="89">
        <v>4992244</v>
      </c>
      <c r="G70" s="89">
        <v>2471000</v>
      </c>
      <c r="H70" s="89">
        <f t="shared" si="4"/>
        <v>2521244</v>
      </c>
      <c r="I70" s="313">
        <f t="shared" si="5"/>
        <v>0.49496779404211816</v>
      </c>
      <c r="J70" s="19"/>
      <c r="K70" s="19"/>
      <c r="L70" s="91"/>
    </row>
    <row r="71" spans="1:12" ht="13.5" customHeight="1">
      <c r="A71" s="340">
        <v>69</v>
      </c>
      <c r="B71" s="177" t="s">
        <v>539</v>
      </c>
      <c r="C71" s="177" t="s">
        <v>540</v>
      </c>
      <c r="D71" s="341">
        <v>44847</v>
      </c>
      <c r="E71" s="342">
        <v>121.274</v>
      </c>
      <c r="F71" s="89">
        <v>6210320.2659999998</v>
      </c>
      <c r="G71" s="89">
        <v>2067459</v>
      </c>
      <c r="H71" s="89">
        <f t="shared" si="4"/>
        <v>4142861.2659999998</v>
      </c>
      <c r="I71" s="313">
        <f t="shared" si="5"/>
        <v>0.33290698570230548</v>
      </c>
      <c r="J71" s="19"/>
      <c r="K71" s="19"/>
      <c r="L71" s="91"/>
    </row>
    <row r="72" spans="1:12" ht="13.5" customHeight="1">
      <c r="A72" s="340">
        <v>70</v>
      </c>
      <c r="B72" s="177" t="s">
        <v>541</v>
      </c>
      <c r="C72" s="177" t="s">
        <v>542</v>
      </c>
      <c r="D72" s="341">
        <v>44893</v>
      </c>
      <c r="E72" s="342">
        <v>121.274</v>
      </c>
      <c r="F72" s="89">
        <v>8246632</v>
      </c>
      <c r="G72" s="89">
        <v>5023316</v>
      </c>
      <c r="H72" s="89">
        <f t="shared" si="4"/>
        <v>3223316</v>
      </c>
      <c r="I72" s="313">
        <f t="shared" si="5"/>
        <v>0.60913546281682029</v>
      </c>
      <c r="J72" s="19"/>
      <c r="K72" s="19"/>
      <c r="L72" s="91"/>
    </row>
    <row r="73" spans="1:12" ht="13.5" customHeight="1">
      <c r="A73" s="340">
        <v>71</v>
      </c>
      <c r="B73" s="177" t="s">
        <v>543</v>
      </c>
      <c r="C73" s="177" t="s">
        <v>544</v>
      </c>
      <c r="D73" s="341">
        <v>44845</v>
      </c>
      <c r="E73" s="342">
        <v>121.274</v>
      </c>
      <c r="F73" s="89">
        <v>6258708.5920000002</v>
      </c>
      <c r="G73" s="89">
        <v>4111000</v>
      </c>
      <c r="H73" s="89">
        <f t="shared" si="4"/>
        <v>2147708.5920000002</v>
      </c>
      <c r="I73" s="313">
        <f t="shared" si="5"/>
        <v>0.65684476910376655</v>
      </c>
      <c r="J73" s="19"/>
      <c r="K73" s="19"/>
      <c r="L73" s="91"/>
    </row>
    <row r="74" spans="1:12" ht="13.5" customHeight="1">
      <c r="A74" s="340">
        <v>72</v>
      </c>
      <c r="B74" s="177" t="s">
        <v>545</v>
      </c>
      <c r="C74" s="177" t="s">
        <v>546</v>
      </c>
      <c r="D74" s="341">
        <v>44845</v>
      </c>
      <c r="E74" s="342">
        <v>121.274</v>
      </c>
      <c r="F74" s="89">
        <v>5338117.6579999998</v>
      </c>
      <c r="G74" s="89">
        <v>3782477</v>
      </c>
      <c r="H74" s="89">
        <f t="shared" si="4"/>
        <v>1555640.6579999998</v>
      </c>
      <c r="I74" s="313">
        <f t="shared" si="5"/>
        <v>0.70857879918239897</v>
      </c>
      <c r="J74" s="19"/>
      <c r="K74" s="19"/>
      <c r="L74" s="91"/>
    </row>
    <row r="75" spans="1:12" ht="9" hidden="1" customHeight="1">
      <c r="A75" s="340">
        <v>73</v>
      </c>
      <c r="B75" s="177" t="s">
        <v>547</v>
      </c>
      <c r="C75" s="177" t="s">
        <v>548</v>
      </c>
      <c r="D75" s="341">
        <v>44271</v>
      </c>
      <c r="E75" s="342">
        <v>121.274</v>
      </c>
      <c r="F75" s="89">
        <v>6512414.2000000002</v>
      </c>
      <c r="G75" s="89">
        <v>6133368</v>
      </c>
      <c r="H75" s="89">
        <f t="shared" si="4"/>
        <v>379046.20000000019</v>
      </c>
      <c r="I75" s="313">
        <f t="shared" si="5"/>
        <v>0.941796361785465</v>
      </c>
      <c r="J75" s="19"/>
      <c r="K75" s="19"/>
      <c r="L75" s="19"/>
    </row>
    <row r="76" spans="1:12" ht="9" hidden="1" customHeight="1">
      <c r="A76" s="340">
        <v>74</v>
      </c>
      <c r="B76" s="177" t="s">
        <v>549</v>
      </c>
      <c r="C76" s="177" t="s">
        <v>550</v>
      </c>
      <c r="D76" s="341">
        <v>44258</v>
      </c>
      <c r="E76" s="342">
        <v>121.274</v>
      </c>
      <c r="F76" s="89">
        <v>4254292.2</v>
      </c>
      <c r="G76" s="89">
        <v>3935874</v>
      </c>
      <c r="H76" s="89">
        <f t="shared" si="4"/>
        <v>318418.20000000019</v>
      </c>
      <c r="I76" s="313">
        <f t="shared" si="5"/>
        <v>0.92515366010825484</v>
      </c>
      <c r="J76" s="19"/>
      <c r="K76" s="19"/>
      <c r="L76" s="19"/>
    </row>
    <row r="77" spans="1:12" ht="9" hidden="1" customHeight="1">
      <c r="A77" s="340">
        <v>75</v>
      </c>
      <c r="B77" s="177" t="s">
        <v>551</v>
      </c>
      <c r="C77" s="177" t="s">
        <v>552</v>
      </c>
      <c r="D77" s="341">
        <v>44300</v>
      </c>
      <c r="E77" s="342">
        <v>121.274</v>
      </c>
      <c r="F77" s="89">
        <v>6138526.0980000002</v>
      </c>
      <c r="G77" s="89">
        <v>5691445</v>
      </c>
      <c r="H77" s="89">
        <f t="shared" si="4"/>
        <v>447081.09800000023</v>
      </c>
      <c r="I77" s="313">
        <f t="shared" si="5"/>
        <v>0.92716800566415047</v>
      </c>
      <c r="J77" s="19"/>
      <c r="K77" s="19"/>
      <c r="L77" s="19"/>
    </row>
    <row r="78" spans="1:12" ht="9" hidden="1" customHeight="1">
      <c r="A78" s="340">
        <v>76</v>
      </c>
      <c r="B78" s="177" t="s">
        <v>553</v>
      </c>
      <c r="C78" s="177" t="s">
        <v>554</v>
      </c>
      <c r="D78" s="341">
        <v>44249</v>
      </c>
      <c r="E78" s="342">
        <v>121.274</v>
      </c>
      <c r="F78" s="89">
        <v>6519690.2000000002</v>
      </c>
      <c r="G78" s="89">
        <v>5731780</v>
      </c>
      <c r="H78" s="89">
        <f t="shared" si="4"/>
        <v>787910.20000000019</v>
      </c>
      <c r="I78" s="313">
        <f t="shared" si="5"/>
        <v>0.87914913503098657</v>
      </c>
      <c r="J78" s="19"/>
      <c r="K78" s="19"/>
      <c r="L78" s="19"/>
    </row>
    <row r="79" spans="1:12" ht="9" hidden="1" customHeight="1">
      <c r="A79" s="340">
        <v>77</v>
      </c>
      <c r="B79" s="177" t="s">
        <v>555</v>
      </c>
      <c r="C79" s="177" t="s">
        <v>556</v>
      </c>
      <c r="D79" s="341">
        <v>44232</v>
      </c>
      <c r="E79" s="342">
        <v>121.274</v>
      </c>
      <c r="F79" s="89">
        <v>6762116.926</v>
      </c>
      <c r="G79" s="89">
        <v>6249967</v>
      </c>
      <c r="H79" s="89">
        <f t="shared" si="4"/>
        <v>512149.92599999998</v>
      </c>
      <c r="I79" s="313">
        <f t="shared" si="5"/>
        <v>0.92426189437351947</v>
      </c>
      <c r="J79" s="19"/>
      <c r="K79" s="19"/>
      <c r="L79" s="19"/>
    </row>
    <row r="80" spans="1:12" ht="9" hidden="1" customHeight="1">
      <c r="A80" s="340">
        <v>78</v>
      </c>
      <c r="B80" s="177" t="s">
        <v>557</v>
      </c>
      <c r="C80" s="177" t="s">
        <v>558</v>
      </c>
      <c r="D80" s="341">
        <v>44245</v>
      </c>
      <c r="E80" s="342">
        <v>121.274</v>
      </c>
      <c r="F80" s="89">
        <v>6318394.1783600003</v>
      </c>
      <c r="G80" s="89">
        <v>5845176</v>
      </c>
      <c r="H80" s="89">
        <f t="shared" si="4"/>
        <v>473218.17836000025</v>
      </c>
      <c r="I80" s="313">
        <f t="shared" si="5"/>
        <v>0.92510467612471303</v>
      </c>
      <c r="J80" s="19"/>
      <c r="K80" s="19"/>
      <c r="L80" s="19"/>
    </row>
    <row r="81" spans="1:12" ht="9" hidden="1" customHeight="1">
      <c r="A81" s="340">
        <v>79</v>
      </c>
      <c r="B81" s="177" t="s">
        <v>559</v>
      </c>
      <c r="C81" s="177" t="s">
        <v>560</v>
      </c>
      <c r="D81" s="341">
        <v>44230</v>
      </c>
      <c r="E81" s="342">
        <v>121.274</v>
      </c>
      <c r="F81" s="89">
        <v>6241003.5480000004</v>
      </c>
      <c r="G81" s="89">
        <v>5783053</v>
      </c>
      <c r="H81" s="89">
        <f t="shared" si="4"/>
        <v>457950.54800000042</v>
      </c>
      <c r="I81" s="313">
        <f t="shared" si="5"/>
        <v>0.92662229007276309</v>
      </c>
      <c r="J81" s="19"/>
      <c r="K81" s="19"/>
      <c r="L81" s="19"/>
    </row>
    <row r="82" spans="1:12" ht="9" hidden="1" customHeight="1">
      <c r="A82" s="340">
        <v>80</v>
      </c>
      <c r="B82" s="177" t="s">
        <v>561</v>
      </c>
      <c r="C82" s="177" t="s">
        <v>562</v>
      </c>
      <c r="D82" s="341">
        <v>44291</v>
      </c>
      <c r="E82" s="342">
        <v>121.274</v>
      </c>
      <c r="F82" s="89">
        <v>5549498.2000000002</v>
      </c>
      <c r="G82" s="89">
        <v>2200000</v>
      </c>
      <c r="H82" s="89">
        <f t="shared" si="4"/>
        <v>3349498.2</v>
      </c>
      <c r="I82" s="313">
        <f t="shared" si="5"/>
        <v>0.39643223958519347</v>
      </c>
      <c r="J82" s="19"/>
      <c r="K82" s="19"/>
      <c r="L82" s="19"/>
    </row>
    <row r="83" spans="1:12" ht="9" hidden="1" customHeight="1">
      <c r="A83" s="340">
        <v>81</v>
      </c>
      <c r="B83" s="177" t="s">
        <v>563</v>
      </c>
      <c r="C83" s="177" t="s">
        <v>414</v>
      </c>
      <c r="D83" s="341">
        <v>44368</v>
      </c>
      <c r="E83" s="342">
        <v>121.274</v>
      </c>
      <c r="F83" s="89">
        <v>4002042.2</v>
      </c>
      <c r="G83" s="89">
        <v>3638219</v>
      </c>
      <c r="H83" s="89">
        <f t="shared" si="4"/>
        <v>363823.20000000019</v>
      </c>
      <c r="I83" s="313">
        <f t="shared" si="5"/>
        <v>0.90909061378713096</v>
      </c>
      <c r="J83" s="19"/>
      <c r="K83" s="19"/>
      <c r="L83" s="19"/>
    </row>
    <row r="84" spans="1:12" ht="9" hidden="1" customHeight="1">
      <c r="A84" s="340">
        <v>82</v>
      </c>
      <c r="B84" s="177" t="s">
        <v>564</v>
      </c>
      <c r="C84" s="177" t="s">
        <v>565</v>
      </c>
      <c r="D84" s="341">
        <v>44242</v>
      </c>
      <c r="E84" s="342">
        <v>121.274</v>
      </c>
      <c r="F84" s="89">
        <v>4002042.2</v>
      </c>
      <c r="G84" s="89">
        <v>3638218</v>
      </c>
      <c r="H84" s="89">
        <f t="shared" si="4"/>
        <v>363824.20000000019</v>
      </c>
      <c r="I84" s="313">
        <f t="shared" si="5"/>
        <v>0.90909036391470333</v>
      </c>
      <c r="J84" s="19"/>
      <c r="K84" s="19"/>
      <c r="L84" s="19"/>
    </row>
    <row r="85" spans="1:12" ht="9" hidden="1" customHeight="1">
      <c r="A85" s="340">
        <v>83</v>
      </c>
      <c r="B85" s="177" t="s">
        <v>566</v>
      </c>
      <c r="C85" s="177" t="s">
        <v>567</v>
      </c>
      <c r="D85" s="341">
        <v>44228</v>
      </c>
      <c r="E85" s="342">
        <v>121.274</v>
      </c>
      <c r="F85" s="89">
        <v>6633688.2000000002</v>
      </c>
      <c r="G85" s="89">
        <v>6166298</v>
      </c>
      <c r="H85" s="89">
        <f t="shared" si="4"/>
        <v>467390.20000000019</v>
      </c>
      <c r="I85" s="313">
        <f t="shared" si="5"/>
        <v>0.92954293510508978</v>
      </c>
      <c r="J85" s="19"/>
      <c r="K85" s="19"/>
      <c r="L85" s="19"/>
    </row>
    <row r="86" spans="1:12" ht="9" hidden="1" customHeight="1">
      <c r="A86" s="340">
        <v>84</v>
      </c>
      <c r="B86" s="177" t="s">
        <v>568</v>
      </c>
      <c r="C86" s="177" t="s">
        <v>569</v>
      </c>
      <c r="D86" s="341">
        <v>44242</v>
      </c>
      <c r="E86" s="342">
        <v>121.274</v>
      </c>
      <c r="F86" s="89">
        <v>4002042.2</v>
      </c>
      <c r="G86" s="89">
        <v>3638218</v>
      </c>
      <c r="H86" s="89">
        <f t="shared" si="4"/>
        <v>363824.20000000019</v>
      </c>
      <c r="I86" s="313">
        <f t="shared" si="5"/>
        <v>0.90909036391470333</v>
      </c>
      <c r="J86" s="19"/>
      <c r="K86" s="19"/>
      <c r="L86" s="19"/>
    </row>
    <row r="87" spans="1:12" ht="9" hidden="1" customHeight="1">
      <c r="A87" s="340">
        <v>85</v>
      </c>
      <c r="B87" s="177" t="s">
        <v>570</v>
      </c>
      <c r="C87" s="177" t="s">
        <v>571</v>
      </c>
      <c r="D87" s="341">
        <v>44233</v>
      </c>
      <c r="E87" s="342">
        <v>121.274</v>
      </c>
      <c r="F87" s="89">
        <v>5978808.4000000004</v>
      </c>
      <c r="G87" s="89">
        <v>5417311</v>
      </c>
      <c r="H87" s="89">
        <f t="shared" si="4"/>
        <v>561497.40000000037</v>
      </c>
      <c r="I87" s="313">
        <f t="shared" si="5"/>
        <v>0.90608539989339676</v>
      </c>
      <c r="J87" s="19"/>
      <c r="K87" s="19"/>
      <c r="L87" s="19"/>
    </row>
    <row r="88" spans="1:12" ht="9" hidden="1" customHeight="1">
      <c r="A88" s="340">
        <v>86</v>
      </c>
      <c r="B88" s="177" t="s">
        <v>572</v>
      </c>
      <c r="C88" s="177" t="s">
        <v>573</v>
      </c>
      <c r="D88" s="341">
        <v>44302</v>
      </c>
      <c r="E88" s="342">
        <v>121.274</v>
      </c>
      <c r="F88" s="89">
        <v>4002042.2</v>
      </c>
      <c r="G88" s="89">
        <v>1698000</v>
      </c>
      <c r="H88" s="89">
        <f t="shared" si="4"/>
        <v>2304042.2000000002</v>
      </c>
      <c r="I88" s="313">
        <f t="shared" si="5"/>
        <v>0.42428338211925898</v>
      </c>
      <c r="J88" s="19"/>
      <c r="K88" s="19"/>
      <c r="L88" s="19"/>
    </row>
    <row r="89" spans="1:12" ht="9" hidden="1" customHeight="1">
      <c r="A89" s="340">
        <v>87</v>
      </c>
      <c r="B89" s="177" t="s">
        <v>574</v>
      </c>
      <c r="C89" s="177" t="s">
        <v>575</v>
      </c>
      <c r="D89" s="341">
        <v>44257</v>
      </c>
      <c r="E89" s="342">
        <v>121.274</v>
      </c>
      <c r="F89" s="89">
        <v>4244590.2</v>
      </c>
      <c r="G89" s="89">
        <v>1819110</v>
      </c>
      <c r="H89" s="89">
        <f t="shared" si="4"/>
        <v>2425480.2000000002</v>
      </c>
      <c r="I89" s="313">
        <f t="shared" si="5"/>
        <v>0.42857140837765678</v>
      </c>
      <c r="J89" s="19"/>
      <c r="K89" s="19"/>
      <c r="L89" s="19"/>
    </row>
    <row r="90" spans="1:12" ht="9" hidden="1" customHeight="1">
      <c r="A90" s="340">
        <v>88</v>
      </c>
      <c r="B90" s="177" t="s">
        <v>576</v>
      </c>
      <c r="C90" s="177" t="s">
        <v>577</v>
      </c>
      <c r="D90" s="341">
        <v>44424</v>
      </c>
      <c r="E90" s="342">
        <v>121.274</v>
      </c>
      <c r="F90" s="89">
        <v>6091350.6720000003</v>
      </c>
      <c r="G90" s="89">
        <v>5518597</v>
      </c>
      <c r="H90" s="89">
        <f t="shared" si="4"/>
        <v>572753.67200000025</v>
      </c>
      <c r="I90" s="313">
        <f t="shared" si="5"/>
        <v>0.90597263187739852</v>
      </c>
      <c r="J90" s="19"/>
      <c r="K90" s="19"/>
      <c r="L90" s="19"/>
    </row>
    <row r="91" spans="1:12" ht="9" hidden="1" customHeight="1">
      <c r="A91" s="340">
        <v>89</v>
      </c>
      <c r="B91" s="177" t="s">
        <v>578</v>
      </c>
      <c r="C91" s="177" t="s">
        <v>579</v>
      </c>
      <c r="D91" s="341">
        <v>44246</v>
      </c>
      <c r="E91" s="342">
        <v>121.274</v>
      </c>
      <c r="F91" s="89">
        <v>5821152.2000000002</v>
      </c>
      <c r="G91" s="89">
        <v>5275411</v>
      </c>
      <c r="H91" s="89">
        <f t="shared" si="4"/>
        <v>545741.20000000019</v>
      </c>
      <c r="I91" s="313">
        <f t="shared" si="5"/>
        <v>0.90624859456517903</v>
      </c>
      <c r="J91" s="19"/>
      <c r="K91" s="19"/>
      <c r="L91" s="19"/>
    </row>
    <row r="92" spans="1:12" ht="9" hidden="1" customHeight="1">
      <c r="A92" s="340">
        <v>90</v>
      </c>
      <c r="B92" s="177" t="s">
        <v>580</v>
      </c>
      <c r="C92" s="177" t="s">
        <v>581</v>
      </c>
      <c r="D92" s="341">
        <v>44235</v>
      </c>
      <c r="E92" s="342">
        <v>121.274</v>
      </c>
      <c r="F92" s="89">
        <v>4062679.2</v>
      </c>
      <c r="G92" s="89">
        <v>3693000</v>
      </c>
      <c r="H92" s="89">
        <f t="shared" si="4"/>
        <v>369679.20000000019</v>
      </c>
      <c r="I92" s="313">
        <f t="shared" si="5"/>
        <v>0.909006056889749</v>
      </c>
      <c r="J92" s="19"/>
      <c r="K92" s="19"/>
      <c r="L92" s="19"/>
    </row>
    <row r="93" spans="1:12" ht="9" hidden="1" customHeight="1">
      <c r="A93" s="340">
        <v>91</v>
      </c>
      <c r="B93" s="177" t="s">
        <v>582</v>
      </c>
      <c r="C93" s="177" t="s">
        <v>583</v>
      </c>
      <c r="D93" s="341">
        <v>44244</v>
      </c>
      <c r="E93" s="342">
        <v>121.274</v>
      </c>
      <c r="F93" s="89">
        <v>5821152.2000000002</v>
      </c>
      <c r="G93" s="89">
        <v>5275417</v>
      </c>
      <c r="H93" s="89">
        <f t="shared" si="4"/>
        <v>545735.20000000019</v>
      </c>
      <c r="I93" s="313">
        <f t="shared" si="5"/>
        <v>0.90624962528895914</v>
      </c>
      <c r="J93" s="19"/>
      <c r="K93" s="19"/>
      <c r="L93" s="19"/>
    </row>
    <row r="94" spans="1:12" ht="9" hidden="1" customHeight="1">
      <c r="A94" s="340">
        <v>92</v>
      </c>
      <c r="B94" s="177" t="s">
        <v>584</v>
      </c>
      <c r="C94" s="177" t="s">
        <v>585</v>
      </c>
      <c r="D94" s="341">
        <v>44272</v>
      </c>
      <c r="E94" s="342">
        <v>121.274</v>
      </c>
      <c r="F94" s="89">
        <v>5942426.2000000002</v>
      </c>
      <c r="G94" s="89">
        <v>5384569</v>
      </c>
      <c r="H94" s="89">
        <f t="shared" si="4"/>
        <v>557857.20000000019</v>
      </c>
      <c r="I94" s="313">
        <f t="shared" si="5"/>
        <v>0.9061229906397491</v>
      </c>
      <c r="J94" s="19"/>
      <c r="K94" s="19"/>
      <c r="L94" s="19"/>
    </row>
    <row r="95" spans="1:12" ht="9" hidden="1" customHeight="1">
      <c r="A95" s="340">
        <v>93</v>
      </c>
      <c r="B95" s="177" t="s">
        <v>586</v>
      </c>
      <c r="C95" s="177" t="s">
        <v>587</v>
      </c>
      <c r="D95" s="341">
        <v>44271</v>
      </c>
      <c r="E95" s="342">
        <v>121.274</v>
      </c>
      <c r="F95" s="89">
        <v>5916837.3859999999</v>
      </c>
      <c r="G95" s="89">
        <v>5480383</v>
      </c>
      <c r="H95" s="89">
        <f t="shared" si="4"/>
        <v>436454.38599999994</v>
      </c>
      <c r="I95" s="313">
        <f t="shared" si="5"/>
        <v>0.92623518992887865</v>
      </c>
      <c r="J95" s="19"/>
      <c r="K95" s="19"/>
      <c r="L95" s="19"/>
    </row>
    <row r="96" spans="1:12" ht="9" hidden="1" customHeight="1">
      <c r="A96" s="340">
        <v>94</v>
      </c>
      <c r="B96" s="177" t="s">
        <v>588</v>
      </c>
      <c r="C96" s="177" t="s">
        <v>589</v>
      </c>
      <c r="D96" s="341">
        <v>44243</v>
      </c>
      <c r="E96" s="342">
        <v>121.274</v>
      </c>
      <c r="F96" s="89">
        <v>4982299.9419999998</v>
      </c>
      <c r="G96" s="89">
        <v>4520452</v>
      </c>
      <c r="H96" s="89">
        <f t="shared" si="4"/>
        <v>461847.94199999981</v>
      </c>
      <c r="I96" s="313">
        <f t="shared" si="5"/>
        <v>0.90730226052697172</v>
      </c>
      <c r="J96" s="19"/>
      <c r="K96" s="19"/>
      <c r="L96" s="19"/>
    </row>
    <row r="97" spans="1:12" ht="9" hidden="1" customHeight="1">
      <c r="A97" s="340">
        <v>95</v>
      </c>
      <c r="B97" s="177" t="s">
        <v>590</v>
      </c>
      <c r="C97" s="177" t="s">
        <v>591</v>
      </c>
      <c r="D97" s="341">
        <v>44258</v>
      </c>
      <c r="E97" s="342">
        <v>121.274</v>
      </c>
      <c r="F97" s="89">
        <v>4850960.2</v>
      </c>
      <c r="G97" s="89">
        <v>4402246</v>
      </c>
      <c r="H97" s="89">
        <f t="shared" si="4"/>
        <v>448714.20000000019</v>
      </c>
      <c r="I97" s="313">
        <f t="shared" si="5"/>
        <v>0.90749992135577606</v>
      </c>
      <c r="J97" s="19"/>
      <c r="K97" s="19"/>
      <c r="L97" s="19"/>
    </row>
    <row r="98" spans="1:12" ht="9" hidden="1" customHeight="1">
      <c r="A98" s="340">
        <v>96</v>
      </c>
      <c r="B98" s="177" t="s">
        <v>592</v>
      </c>
      <c r="C98" s="177" t="s">
        <v>591</v>
      </c>
      <c r="D98" s="341">
        <v>44272</v>
      </c>
      <c r="E98" s="342">
        <v>121.274</v>
      </c>
      <c r="F98" s="89">
        <v>4850960.2</v>
      </c>
      <c r="G98" s="89">
        <v>4402246</v>
      </c>
      <c r="H98" s="89">
        <f t="shared" si="4"/>
        <v>448714.20000000019</v>
      </c>
      <c r="I98" s="313">
        <f t="shared" si="5"/>
        <v>0.90749992135577606</v>
      </c>
      <c r="J98" s="19"/>
      <c r="K98" s="19"/>
      <c r="L98" s="19"/>
    </row>
    <row r="99" spans="1:12" ht="9" hidden="1" customHeight="1">
      <c r="A99" s="340">
        <v>97</v>
      </c>
      <c r="B99" s="177" t="s">
        <v>593</v>
      </c>
      <c r="C99" s="177" t="s">
        <v>594</v>
      </c>
      <c r="D99" s="341">
        <v>44375</v>
      </c>
      <c r="E99" s="342">
        <v>121.274</v>
      </c>
      <c r="F99" s="89">
        <v>5736260.4000000004</v>
      </c>
      <c r="G99" s="89">
        <v>2564945</v>
      </c>
      <c r="H99" s="89">
        <f t="shared" ref="H99:H130" si="6">F99-G99</f>
        <v>3171315.4000000004</v>
      </c>
      <c r="I99" s="313">
        <f t="shared" ref="I99:I130" si="7">G99/F99</f>
        <v>0.44714584435532245</v>
      </c>
      <c r="J99" s="19"/>
      <c r="K99" s="19"/>
      <c r="L99" s="19"/>
    </row>
    <row r="100" spans="1:12" ht="9" hidden="1" customHeight="1">
      <c r="A100" s="340">
        <v>98</v>
      </c>
      <c r="B100" s="177" t="s">
        <v>595</v>
      </c>
      <c r="C100" s="177" t="s">
        <v>596</v>
      </c>
      <c r="D100" s="341">
        <v>44231</v>
      </c>
      <c r="E100" s="342">
        <v>121.274</v>
      </c>
      <c r="F100" s="89">
        <v>4062679.2</v>
      </c>
      <c r="G100" s="89">
        <v>3692795</v>
      </c>
      <c r="H100" s="89">
        <f t="shared" si="6"/>
        <v>369884.20000000019</v>
      </c>
      <c r="I100" s="313">
        <f t="shared" si="7"/>
        <v>0.90895559757708655</v>
      </c>
      <c r="J100" s="19"/>
      <c r="K100" s="19"/>
      <c r="L100" s="19"/>
    </row>
    <row r="101" spans="1:12" ht="9" hidden="1" customHeight="1">
      <c r="A101" s="340">
        <v>99</v>
      </c>
      <c r="B101" s="177" t="s">
        <v>597</v>
      </c>
      <c r="C101" s="177" t="s">
        <v>598</v>
      </c>
      <c r="D101" s="341">
        <v>44261</v>
      </c>
      <c r="E101" s="342">
        <v>121.274</v>
      </c>
      <c r="F101" s="89">
        <v>4487138.2</v>
      </c>
      <c r="G101" s="89">
        <v>4074808</v>
      </c>
      <c r="H101" s="89">
        <f t="shared" si="6"/>
        <v>412330.20000000019</v>
      </c>
      <c r="I101" s="313">
        <f t="shared" si="7"/>
        <v>0.9081084242067694</v>
      </c>
      <c r="J101" s="19"/>
      <c r="K101" s="19"/>
      <c r="L101" s="19"/>
    </row>
    <row r="102" spans="1:12" ht="9" hidden="1" customHeight="1">
      <c r="A102" s="340">
        <v>100</v>
      </c>
      <c r="B102" s="177" t="s">
        <v>599</v>
      </c>
      <c r="C102" s="177" t="s">
        <v>600</v>
      </c>
      <c r="D102" s="341">
        <v>44280</v>
      </c>
      <c r="E102" s="342">
        <v>121.274</v>
      </c>
      <c r="F102" s="89">
        <v>5942426.2000000002</v>
      </c>
      <c r="G102" s="89">
        <v>2668025</v>
      </c>
      <c r="H102" s="89">
        <f t="shared" si="6"/>
        <v>3274401.2</v>
      </c>
      <c r="I102" s="313">
        <f t="shared" si="7"/>
        <v>0.44897907188144798</v>
      </c>
      <c r="J102" s="19"/>
      <c r="K102" s="19"/>
      <c r="L102" s="19"/>
    </row>
    <row r="103" spans="1:12" ht="9" hidden="1" customHeight="1">
      <c r="A103" s="340">
        <v>101</v>
      </c>
      <c r="B103" s="177" t="s">
        <v>601</v>
      </c>
      <c r="C103" s="177" t="s">
        <v>602</v>
      </c>
      <c r="D103" s="341">
        <v>44280</v>
      </c>
      <c r="E103" s="342">
        <v>121.274</v>
      </c>
      <c r="F103" s="89">
        <v>5942426.2000000002</v>
      </c>
      <c r="G103" s="89">
        <v>2668028</v>
      </c>
      <c r="H103" s="89">
        <f t="shared" si="6"/>
        <v>3274398.2</v>
      </c>
      <c r="I103" s="313">
        <f t="shared" si="7"/>
        <v>0.44897957672574879</v>
      </c>
      <c r="J103" s="19"/>
      <c r="K103" s="19"/>
      <c r="L103" s="19"/>
    </row>
    <row r="104" spans="1:12" ht="9" hidden="1" customHeight="1">
      <c r="A104" s="340">
        <v>102</v>
      </c>
      <c r="B104" s="177" t="s">
        <v>603</v>
      </c>
      <c r="C104" s="177" t="s">
        <v>604</v>
      </c>
      <c r="D104" s="341">
        <v>44273</v>
      </c>
      <c r="E104" s="342">
        <v>121.274</v>
      </c>
      <c r="F104" s="89">
        <v>5821152.2000000002</v>
      </c>
      <c r="G104" s="89">
        <v>2607391</v>
      </c>
      <c r="H104" s="89">
        <f t="shared" si="6"/>
        <v>3213761.2</v>
      </c>
      <c r="I104" s="313">
        <f t="shared" si="7"/>
        <v>0.447916651277388</v>
      </c>
      <c r="J104" s="19"/>
      <c r="K104" s="19"/>
      <c r="L104" s="19"/>
    </row>
    <row r="105" spans="1:12" ht="9" hidden="1" customHeight="1">
      <c r="A105" s="340">
        <v>103</v>
      </c>
      <c r="B105" s="177" t="s">
        <v>605</v>
      </c>
      <c r="C105" s="177" t="s">
        <v>606</v>
      </c>
      <c r="D105" s="341">
        <v>44242</v>
      </c>
      <c r="E105" s="342">
        <v>121.274</v>
      </c>
      <c r="F105" s="89">
        <v>4002042.2</v>
      </c>
      <c r="G105" s="89">
        <v>3638218</v>
      </c>
      <c r="H105" s="89">
        <f t="shared" si="6"/>
        <v>363824.20000000019</v>
      </c>
      <c r="I105" s="313">
        <f t="shared" si="7"/>
        <v>0.90909036391470333</v>
      </c>
      <c r="J105" s="19"/>
      <c r="K105" s="19"/>
      <c r="L105" s="19"/>
    </row>
    <row r="106" spans="1:12" ht="9" hidden="1" customHeight="1">
      <c r="A106" s="340">
        <v>104</v>
      </c>
      <c r="B106" s="177" t="s">
        <v>607</v>
      </c>
      <c r="C106" s="177" t="s">
        <v>608</v>
      </c>
      <c r="D106" s="341">
        <v>44383</v>
      </c>
      <c r="E106" s="342">
        <v>121.274</v>
      </c>
      <c r="F106" s="89">
        <v>6609433.2000000002</v>
      </c>
      <c r="G106" s="89">
        <v>2728665</v>
      </c>
      <c r="H106" s="89">
        <f t="shared" si="6"/>
        <v>3880768.2</v>
      </c>
      <c r="I106" s="313">
        <f t="shared" si="7"/>
        <v>0.41284402420467764</v>
      </c>
      <c r="J106" s="19"/>
      <c r="K106" s="19"/>
      <c r="L106" s="19"/>
    </row>
    <row r="107" spans="1:12" ht="9" hidden="1" customHeight="1">
      <c r="A107" s="340">
        <v>105</v>
      </c>
      <c r="B107" s="177" t="s">
        <v>609</v>
      </c>
      <c r="C107" s="177" t="s">
        <v>610</v>
      </c>
      <c r="D107" s="341">
        <v>44247</v>
      </c>
      <c r="E107" s="342">
        <v>121.274</v>
      </c>
      <c r="F107" s="89">
        <v>5512388.7960000001</v>
      </c>
      <c r="G107" s="89">
        <v>5157128</v>
      </c>
      <c r="H107" s="89">
        <f t="shared" si="6"/>
        <v>355260.79600000009</v>
      </c>
      <c r="I107" s="313">
        <f t="shared" si="7"/>
        <v>0.93555229699004705</v>
      </c>
      <c r="J107" s="19"/>
      <c r="K107" s="19"/>
      <c r="L107" s="19"/>
    </row>
    <row r="108" spans="1:12" ht="9" hidden="1" customHeight="1">
      <c r="A108" s="340">
        <v>106</v>
      </c>
      <c r="B108" s="177" t="s">
        <v>611</v>
      </c>
      <c r="C108" s="177" t="s">
        <v>457</v>
      </c>
      <c r="D108" s="341">
        <v>44244</v>
      </c>
      <c r="E108" s="342">
        <v>121.274</v>
      </c>
      <c r="F108" s="89">
        <v>5457330.2000000002</v>
      </c>
      <c r="G108" s="89">
        <v>4185096</v>
      </c>
      <c r="H108" s="89">
        <f t="shared" si="6"/>
        <v>1272234.2000000002</v>
      </c>
      <c r="I108" s="313">
        <f t="shared" si="7"/>
        <v>0.76687608164153231</v>
      </c>
      <c r="J108" s="19"/>
      <c r="K108" s="19"/>
      <c r="L108" s="19"/>
    </row>
    <row r="109" spans="1:12" ht="9" hidden="1" customHeight="1">
      <c r="A109" s="340">
        <v>107</v>
      </c>
      <c r="B109" s="177" t="s">
        <v>612</v>
      </c>
      <c r="C109" s="177" t="s">
        <v>613</v>
      </c>
      <c r="D109" s="341">
        <v>44252</v>
      </c>
      <c r="E109" s="342">
        <v>121.274</v>
      </c>
      <c r="F109" s="89">
        <v>5821152.2000000002</v>
      </c>
      <c r="G109" s="89">
        <v>5276411</v>
      </c>
      <c r="H109" s="89">
        <f t="shared" si="6"/>
        <v>544741.20000000019</v>
      </c>
      <c r="I109" s="313">
        <f t="shared" si="7"/>
        <v>0.90642038186185891</v>
      </c>
      <c r="J109" s="19"/>
      <c r="K109" s="19"/>
      <c r="L109" s="19"/>
    </row>
    <row r="110" spans="1:12" ht="9" hidden="1" customHeight="1">
      <c r="A110" s="340">
        <v>108</v>
      </c>
      <c r="B110" s="177" t="s">
        <v>614</v>
      </c>
      <c r="C110" s="177" t="s">
        <v>615</v>
      </c>
      <c r="D110" s="341">
        <v>44380</v>
      </c>
      <c r="E110" s="342">
        <v>121.274</v>
      </c>
      <c r="F110" s="89">
        <v>5585031.7220000001</v>
      </c>
      <c r="G110" s="89">
        <v>2489330</v>
      </c>
      <c r="H110" s="89">
        <f t="shared" si="6"/>
        <v>3095701.7220000001</v>
      </c>
      <c r="I110" s="313">
        <f t="shared" si="7"/>
        <v>0.44571456777842094</v>
      </c>
      <c r="J110" s="19"/>
      <c r="K110" s="19"/>
      <c r="L110" s="19"/>
    </row>
    <row r="111" spans="1:12" ht="9" hidden="1" customHeight="1">
      <c r="A111" s="340">
        <v>109</v>
      </c>
      <c r="B111" s="177" t="s">
        <v>616</v>
      </c>
      <c r="C111" s="177" t="s">
        <v>617</v>
      </c>
      <c r="D111" s="341">
        <v>44283</v>
      </c>
      <c r="E111" s="342">
        <v>121.274</v>
      </c>
      <c r="F111" s="89">
        <v>5699878.2000000002</v>
      </c>
      <c r="G111" s="89">
        <v>5166274</v>
      </c>
      <c r="H111" s="89">
        <f t="shared" si="6"/>
        <v>533604.20000000019</v>
      </c>
      <c r="I111" s="313">
        <f t="shared" si="7"/>
        <v>0.90638322762756574</v>
      </c>
      <c r="J111" s="19"/>
      <c r="K111" s="19"/>
      <c r="L111" s="19"/>
    </row>
    <row r="112" spans="1:12" ht="9" hidden="1" customHeight="1">
      <c r="A112" s="340">
        <v>110</v>
      </c>
      <c r="B112" s="177" t="s">
        <v>618</v>
      </c>
      <c r="C112" s="177" t="s">
        <v>619</v>
      </c>
      <c r="D112" s="341">
        <v>44283</v>
      </c>
      <c r="E112" s="342">
        <v>121.274</v>
      </c>
      <c r="F112" s="89">
        <v>4002042.2</v>
      </c>
      <c r="G112" s="89">
        <v>3638219</v>
      </c>
      <c r="H112" s="89">
        <f t="shared" si="6"/>
        <v>363823.20000000019</v>
      </c>
      <c r="I112" s="313">
        <f t="shared" si="7"/>
        <v>0.90909061378713096</v>
      </c>
      <c r="J112" s="19"/>
      <c r="K112" s="19"/>
      <c r="L112" s="19"/>
    </row>
    <row r="113" spans="1:12" ht="9" hidden="1" customHeight="1">
      <c r="A113" s="340">
        <v>111</v>
      </c>
      <c r="B113" s="177" t="s">
        <v>620</v>
      </c>
      <c r="C113" s="177" t="s">
        <v>621</v>
      </c>
      <c r="D113" s="341">
        <v>44230</v>
      </c>
      <c r="E113" s="342">
        <v>121.274</v>
      </c>
      <c r="F113" s="89">
        <v>4062679.2</v>
      </c>
      <c r="G113" s="89">
        <v>3692794</v>
      </c>
      <c r="H113" s="89">
        <f t="shared" si="6"/>
        <v>369885.20000000019</v>
      </c>
      <c r="I113" s="313">
        <f t="shared" si="7"/>
        <v>0.90895535143409789</v>
      </c>
      <c r="J113" s="19"/>
      <c r="K113" s="19"/>
      <c r="L113" s="19"/>
    </row>
    <row r="114" spans="1:12" ht="9" hidden="1" customHeight="1">
      <c r="A114" s="340">
        <v>112</v>
      </c>
      <c r="B114" s="177" t="s">
        <v>622</v>
      </c>
      <c r="C114" s="177" t="s">
        <v>621</v>
      </c>
      <c r="D114" s="341">
        <v>44230</v>
      </c>
      <c r="E114" s="342">
        <v>121.274</v>
      </c>
      <c r="F114" s="89">
        <v>4062679.2</v>
      </c>
      <c r="G114" s="89">
        <v>3692794</v>
      </c>
      <c r="H114" s="89">
        <f t="shared" si="6"/>
        <v>369885.20000000019</v>
      </c>
      <c r="I114" s="313">
        <f t="shared" si="7"/>
        <v>0.90895535143409789</v>
      </c>
      <c r="J114" s="19"/>
      <c r="K114" s="19"/>
      <c r="L114" s="19"/>
    </row>
    <row r="115" spans="1:12" ht="9" hidden="1" customHeight="1">
      <c r="A115" s="340">
        <v>113</v>
      </c>
      <c r="B115" s="177" t="s">
        <v>623</v>
      </c>
      <c r="C115" s="177" t="s">
        <v>624</v>
      </c>
      <c r="D115" s="341">
        <v>44256</v>
      </c>
      <c r="E115" s="342">
        <v>121.274</v>
      </c>
      <c r="F115" s="89">
        <v>5457330.2000000002</v>
      </c>
      <c r="G115" s="89">
        <v>4940017</v>
      </c>
      <c r="H115" s="89">
        <f t="shared" si="6"/>
        <v>517313.20000000019</v>
      </c>
      <c r="I115" s="313">
        <f t="shared" si="7"/>
        <v>0.9052076416413285</v>
      </c>
      <c r="J115" s="19"/>
      <c r="K115" s="19"/>
      <c r="L115" s="19"/>
    </row>
    <row r="116" spans="1:12" ht="9" hidden="1" customHeight="1">
      <c r="A116" s="340">
        <v>114</v>
      </c>
      <c r="B116" s="177" t="s">
        <v>625</v>
      </c>
      <c r="C116" s="177" t="s">
        <v>626</v>
      </c>
      <c r="D116" s="341">
        <v>44291</v>
      </c>
      <c r="E116" s="342">
        <v>121.274</v>
      </c>
      <c r="F116" s="89">
        <v>5503050.4979999997</v>
      </c>
      <c r="G116" s="89">
        <v>2448350</v>
      </c>
      <c r="H116" s="89">
        <f t="shared" si="6"/>
        <v>3054700.4979999997</v>
      </c>
      <c r="I116" s="313">
        <f t="shared" si="7"/>
        <v>0.44490778358109118</v>
      </c>
      <c r="J116" s="19"/>
      <c r="K116" s="19"/>
      <c r="L116" s="19"/>
    </row>
    <row r="117" spans="1:12" ht="9" hidden="1" customHeight="1">
      <c r="A117" s="340">
        <v>115</v>
      </c>
      <c r="B117" s="177" t="s">
        <v>627</v>
      </c>
      <c r="C117" s="177" t="s">
        <v>628</v>
      </c>
      <c r="D117" s="341">
        <v>44255</v>
      </c>
      <c r="E117" s="342">
        <v>121.274</v>
      </c>
      <c r="F117" s="89">
        <v>5881789.2000000002</v>
      </c>
      <c r="G117" s="89">
        <v>5329993</v>
      </c>
      <c r="H117" s="89">
        <f t="shared" si="6"/>
        <v>551796.20000000019</v>
      </c>
      <c r="I117" s="313">
        <f t="shared" si="7"/>
        <v>0.90618565520845251</v>
      </c>
      <c r="J117" s="19"/>
      <c r="K117" s="19"/>
      <c r="L117" s="19"/>
    </row>
    <row r="118" spans="1:12" ht="9" hidden="1" customHeight="1">
      <c r="A118" s="340">
        <v>116</v>
      </c>
      <c r="B118" s="177" t="s">
        <v>629</v>
      </c>
      <c r="C118" s="177" t="s">
        <v>630</v>
      </c>
      <c r="D118" s="341">
        <v>44270</v>
      </c>
      <c r="E118" s="342">
        <v>121.274</v>
      </c>
      <c r="F118" s="89">
        <v>5733471.0980000002</v>
      </c>
      <c r="G118" s="89">
        <v>5349310</v>
      </c>
      <c r="H118" s="89">
        <f t="shared" si="6"/>
        <v>384161.09800000023</v>
      </c>
      <c r="I118" s="313">
        <f t="shared" si="7"/>
        <v>0.93299676732756065</v>
      </c>
      <c r="J118" s="19"/>
      <c r="K118" s="19"/>
      <c r="L118" s="19"/>
    </row>
    <row r="119" spans="1:12" ht="9" hidden="1" customHeight="1">
      <c r="A119" s="340">
        <v>117</v>
      </c>
      <c r="B119" s="26" t="s">
        <v>631</v>
      </c>
      <c r="C119" s="26" t="s">
        <v>632</v>
      </c>
      <c r="D119" s="341">
        <v>44272</v>
      </c>
      <c r="E119" s="89">
        <v>121.274</v>
      </c>
      <c r="F119" s="89">
        <v>4972234.2</v>
      </c>
      <c r="G119" s="89">
        <v>4511389</v>
      </c>
      <c r="H119" s="89">
        <f t="shared" si="6"/>
        <v>460845.20000000019</v>
      </c>
      <c r="I119" s="313">
        <f t="shared" si="7"/>
        <v>0.90731627243141522</v>
      </c>
      <c r="J119" s="19"/>
      <c r="K119" s="19"/>
      <c r="L119" s="19"/>
    </row>
    <row r="120" spans="1:12" ht="9" hidden="1" customHeight="1">
      <c r="A120" s="340">
        <v>118</v>
      </c>
      <c r="B120" s="26" t="s">
        <v>633</v>
      </c>
      <c r="C120" s="26" t="s">
        <v>430</v>
      </c>
      <c r="D120" s="341">
        <v>44246</v>
      </c>
      <c r="E120" s="89">
        <v>121.274</v>
      </c>
      <c r="F120" s="89">
        <v>5457330.2000000002</v>
      </c>
      <c r="G120" s="89">
        <v>4947979</v>
      </c>
      <c r="H120" s="89">
        <f t="shared" si="6"/>
        <v>509351.20000000019</v>
      </c>
      <c r="I120" s="313">
        <f t="shared" si="7"/>
        <v>0.90666659679122952</v>
      </c>
      <c r="J120" s="19"/>
      <c r="K120" s="19"/>
      <c r="L120" s="19"/>
    </row>
    <row r="121" spans="1:12" ht="9" hidden="1" customHeight="1">
      <c r="A121" s="340">
        <v>119</v>
      </c>
      <c r="B121" s="26" t="s">
        <v>634</v>
      </c>
      <c r="C121" s="26" t="s">
        <v>635</v>
      </c>
      <c r="D121" s="341">
        <v>44471</v>
      </c>
      <c r="E121" s="89">
        <v>121.274</v>
      </c>
      <c r="F121" s="89">
        <v>5699878.2000000002</v>
      </c>
      <c r="G121" s="89">
        <v>5437918</v>
      </c>
      <c r="H121" s="89">
        <f t="shared" si="6"/>
        <v>261960.20000000019</v>
      </c>
      <c r="I121" s="313">
        <f t="shared" si="7"/>
        <v>0.95404108810605814</v>
      </c>
      <c r="J121" s="19"/>
      <c r="K121" s="19"/>
      <c r="L121" s="19"/>
    </row>
    <row r="122" spans="1:12" ht="9" hidden="1" customHeight="1">
      <c r="A122" s="340">
        <v>120</v>
      </c>
      <c r="B122" s="26" t="s">
        <v>636</v>
      </c>
      <c r="C122" s="26" t="s">
        <v>637</v>
      </c>
      <c r="D122" s="341">
        <v>44351</v>
      </c>
      <c r="E122" s="89">
        <v>121.274</v>
      </c>
      <c r="F122" s="89">
        <v>5672955.3720000004</v>
      </c>
      <c r="G122" s="89">
        <v>2533292</v>
      </c>
      <c r="H122" s="89">
        <f t="shared" si="6"/>
        <v>3139663.3720000004</v>
      </c>
      <c r="I122" s="313">
        <f t="shared" si="7"/>
        <v>0.44655595432736284</v>
      </c>
      <c r="J122" s="19"/>
      <c r="K122" s="19"/>
      <c r="L122" s="19"/>
    </row>
    <row r="123" spans="1:12" ht="9" hidden="1" customHeight="1">
      <c r="A123" s="340">
        <v>121</v>
      </c>
      <c r="B123" s="26" t="s">
        <v>638</v>
      </c>
      <c r="C123" s="26" t="s">
        <v>639</v>
      </c>
      <c r="D123" s="341">
        <v>44263</v>
      </c>
      <c r="E123" s="89">
        <v>121.274</v>
      </c>
      <c r="F123" s="89">
        <v>5457330.2000000002</v>
      </c>
      <c r="G123" s="89">
        <v>4947979</v>
      </c>
      <c r="H123" s="89">
        <f t="shared" si="6"/>
        <v>509351.20000000019</v>
      </c>
      <c r="I123" s="313">
        <f t="shared" si="7"/>
        <v>0.90666659679122952</v>
      </c>
      <c r="J123" s="19"/>
      <c r="K123" s="19"/>
      <c r="L123" s="19"/>
    </row>
    <row r="124" spans="1:12" ht="9" hidden="1" customHeight="1">
      <c r="A124" s="340">
        <v>122</v>
      </c>
      <c r="B124" s="26" t="s">
        <v>640</v>
      </c>
      <c r="C124" s="26" t="s">
        <v>641</v>
      </c>
      <c r="D124" s="341">
        <v>44279</v>
      </c>
      <c r="E124" s="89">
        <v>121.274</v>
      </c>
      <c r="F124" s="89">
        <v>5913321.6527399998</v>
      </c>
      <c r="G124" s="89">
        <v>5358370</v>
      </c>
      <c r="H124" s="89">
        <f t="shared" si="6"/>
        <v>554951.65273999982</v>
      </c>
      <c r="I124" s="313">
        <f t="shared" si="7"/>
        <v>0.90615229724855961</v>
      </c>
      <c r="J124" s="19"/>
      <c r="K124" s="19"/>
      <c r="L124" s="19"/>
    </row>
    <row r="125" spans="1:12" ht="9" hidden="1" customHeight="1">
      <c r="A125" s="340">
        <v>123</v>
      </c>
      <c r="B125" s="26" t="s">
        <v>642</v>
      </c>
      <c r="C125" s="26" t="s">
        <v>643</v>
      </c>
      <c r="D125" s="341">
        <v>44446</v>
      </c>
      <c r="E125" s="89">
        <v>121.274</v>
      </c>
      <c r="F125" s="89">
        <v>5699878.2000000002</v>
      </c>
      <c r="G125" s="89">
        <v>5166274</v>
      </c>
      <c r="H125" s="89">
        <f t="shared" si="6"/>
        <v>533604.20000000019</v>
      </c>
      <c r="I125" s="313">
        <f t="shared" si="7"/>
        <v>0.90638322762756574</v>
      </c>
      <c r="J125" s="19"/>
      <c r="K125" s="19"/>
      <c r="L125" s="19"/>
    </row>
    <row r="126" spans="1:12" ht="9" hidden="1" customHeight="1">
      <c r="A126" s="340">
        <v>124</v>
      </c>
      <c r="B126" s="26" t="s">
        <v>644</v>
      </c>
      <c r="C126" s="26" t="s">
        <v>645</v>
      </c>
      <c r="D126" s="341">
        <v>44278</v>
      </c>
      <c r="E126" s="89">
        <v>121.274</v>
      </c>
      <c r="F126" s="89">
        <v>5321139.4979999997</v>
      </c>
      <c r="G126" s="89">
        <v>2357384</v>
      </c>
      <c r="H126" s="89">
        <f t="shared" si="6"/>
        <v>2963755.4979999997</v>
      </c>
      <c r="I126" s="313">
        <f t="shared" si="7"/>
        <v>0.44302240166529083</v>
      </c>
      <c r="J126" s="19"/>
      <c r="K126" s="19"/>
      <c r="L126" s="19"/>
    </row>
    <row r="127" spans="1:12" ht="9" hidden="1" customHeight="1">
      <c r="A127" s="340">
        <v>125</v>
      </c>
      <c r="B127" s="26" t="s">
        <v>646</v>
      </c>
      <c r="C127" s="26" t="s">
        <v>647</v>
      </c>
      <c r="D127" s="341">
        <v>44287</v>
      </c>
      <c r="E127" s="89">
        <v>121.274</v>
      </c>
      <c r="F127" s="89">
        <v>5386263.6359999999</v>
      </c>
      <c r="G127" s="89">
        <v>4884016.45</v>
      </c>
      <c r="H127" s="89">
        <f t="shared" si="6"/>
        <v>502247.18599999975</v>
      </c>
      <c r="I127" s="313">
        <f t="shared" si="7"/>
        <v>0.90675406553753768</v>
      </c>
      <c r="J127" s="19"/>
      <c r="K127" s="19"/>
      <c r="L127" s="19"/>
    </row>
    <row r="128" spans="1:12" ht="9" hidden="1" customHeight="1">
      <c r="A128" s="340">
        <v>126</v>
      </c>
      <c r="B128" s="26" t="s">
        <v>648</v>
      </c>
      <c r="C128" s="26" t="s">
        <v>649</v>
      </c>
      <c r="D128" s="341">
        <v>44279</v>
      </c>
      <c r="E128" s="89">
        <v>121.274</v>
      </c>
      <c r="F128" s="89">
        <v>5956251.4359999998</v>
      </c>
      <c r="G128" s="89">
        <v>5397007.3799999999</v>
      </c>
      <c r="H128" s="89">
        <f t="shared" si="6"/>
        <v>559244.05599999987</v>
      </c>
      <c r="I128" s="313">
        <f t="shared" si="7"/>
        <v>0.9061080510100884</v>
      </c>
      <c r="J128" s="19"/>
      <c r="K128" s="19"/>
      <c r="L128" s="19"/>
    </row>
    <row r="129" spans="1:12" ht="9" hidden="1" customHeight="1">
      <c r="A129" s="340">
        <v>127</v>
      </c>
      <c r="B129" s="26" t="s">
        <v>650</v>
      </c>
      <c r="C129" s="26" t="s">
        <v>651</v>
      </c>
      <c r="D129" s="341">
        <v>44223</v>
      </c>
      <c r="E129" s="89">
        <v>105.48</v>
      </c>
      <c r="F129" s="89">
        <v>5419726.9488000004</v>
      </c>
      <c r="G129" s="89">
        <v>2446164</v>
      </c>
      <c r="H129" s="89">
        <f t="shared" si="6"/>
        <v>2973562.9488000004</v>
      </c>
      <c r="I129" s="313">
        <f t="shared" si="7"/>
        <v>0.45134450925458769</v>
      </c>
      <c r="J129" s="19"/>
      <c r="K129" s="19"/>
      <c r="L129" s="19"/>
    </row>
    <row r="130" spans="1:12" ht="9" hidden="1" customHeight="1">
      <c r="A130" s="340">
        <v>128</v>
      </c>
      <c r="B130" s="26" t="s">
        <v>652</v>
      </c>
      <c r="C130" s="26" t="s">
        <v>653</v>
      </c>
      <c r="D130" s="341">
        <v>44379</v>
      </c>
      <c r="E130" s="89">
        <v>105.48</v>
      </c>
      <c r="F130" s="89">
        <v>4682218.1723999996</v>
      </c>
      <c r="G130" s="89">
        <v>4245637</v>
      </c>
      <c r="H130" s="89">
        <f t="shared" si="6"/>
        <v>436581.17239999957</v>
      </c>
      <c r="I130" s="313">
        <f t="shared" si="7"/>
        <v>0.90675761864889393</v>
      </c>
      <c r="J130" s="19"/>
      <c r="K130" s="19"/>
      <c r="L130" s="19"/>
    </row>
    <row r="131" spans="1:12" ht="9" hidden="1" customHeight="1">
      <c r="A131" s="340">
        <v>129</v>
      </c>
      <c r="B131" s="26" t="s">
        <v>654</v>
      </c>
      <c r="C131" s="26" t="s">
        <v>422</v>
      </c>
      <c r="D131" s="341">
        <v>44230</v>
      </c>
      <c r="E131" s="89">
        <v>105.48</v>
      </c>
      <c r="F131" s="89">
        <v>5385656.9088000003</v>
      </c>
      <c r="G131" s="89">
        <v>4878733</v>
      </c>
      <c r="H131" s="89">
        <f t="shared" ref="H131:H162" si="8">F131-G131</f>
        <v>506923.90880000032</v>
      </c>
      <c r="I131" s="313">
        <f t="shared" ref="I131:I162" si="9">G131/F131</f>
        <v>0.90587519454280463</v>
      </c>
      <c r="J131" s="19"/>
      <c r="K131" s="19"/>
      <c r="L131" s="19"/>
    </row>
    <row r="132" spans="1:12" ht="9" hidden="1" customHeight="1">
      <c r="A132" s="340">
        <v>130</v>
      </c>
      <c r="B132" s="26" t="s">
        <v>655</v>
      </c>
      <c r="C132" s="26" t="s">
        <v>656</v>
      </c>
      <c r="D132" s="341">
        <v>44264</v>
      </c>
      <c r="E132" s="89">
        <v>105.48</v>
      </c>
      <c r="F132" s="89">
        <v>5221215.6984000001</v>
      </c>
      <c r="G132" s="89">
        <v>4730737</v>
      </c>
      <c r="H132" s="89">
        <f t="shared" si="8"/>
        <v>490478.69840000011</v>
      </c>
      <c r="I132" s="313">
        <f t="shared" si="9"/>
        <v>0.90606044133547226</v>
      </c>
      <c r="J132" s="19"/>
      <c r="K132" s="19"/>
      <c r="L132" s="19"/>
    </row>
    <row r="133" spans="1:12" ht="9" hidden="1" customHeight="1">
      <c r="A133" s="340">
        <v>131</v>
      </c>
      <c r="B133" s="26" t="s">
        <v>657</v>
      </c>
      <c r="C133" s="26" t="s">
        <v>658</v>
      </c>
      <c r="D133" s="341">
        <v>44261</v>
      </c>
      <c r="E133" s="89">
        <v>105.48</v>
      </c>
      <c r="F133" s="89">
        <v>3480811.5203999998</v>
      </c>
      <c r="G133" s="89">
        <v>3164368</v>
      </c>
      <c r="H133" s="89">
        <f t="shared" si="8"/>
        <v>316443.5203999998</v>
      </c>
      <c r="I133" s="313">
        <f t="shared" si="9"/>
        <v>0.90908915390982292</v>
      </c>
      <c r="J133" s="19"/>
      <c r="K133" s="19"/>
      <c r="L133" s="19"/>
    </row>
    <row r="134" spans="1:12" ht="9" hidden="1" customHeight="1">
      <c r="A134" s="340">
        <v>132</v>
      </c>
      <c r="B134" s="26" t="s">
        <v>659</v>
      </c>
      <c r="C134" s="26" t="s">
        <v>660</v>
      </c>
      <c r="D134" s="341">
        <v>44229</v>
      </c>
      <c r="E134" s="89">
        <v>105.48</v>
      </c>
      <c r="F134" s="89">
        <v>5379433.5888</v>
      </c>
      <c r="G134" s="89">
        <v>4873126</v>
      </c>
      <c r="H134" s="89">
        <f t="shared" si="8"/>
        <v>506307.58880000003</v>
      </c>
      <c r="I134" s="313">
        <f t="shared" si="9"/>
        <v>0.90588087380535109</v>
      </c>
      <c r="J134" s="19"/>
      <c r="K134" s="19"/>
      <c r="L134" s="19"/>
    </row>
    <row r="135" spans="1:12" ht="9" hidden="1" customHeight="1">
      <c r="A135" s="340">
        <v>133</v>
      </c>
      <c r="B135" s="26" t="s">
        <v>661</v>
      </c>
      <c r="C135" s="26" t="s">
        <v>662</v>
      </c>
      <c r="D135" s="341">
        <v>44272</v>
      </c>
      <c r="E135" s="89">
        <v>105.48</v>
      </c>
      <c r="F135" s="89">
        <v>4430123.0820000004</v>
      </c>
      <c r="G135" s="89">
        <v>4018770.2</v>
      </c>
      <c r="H135" s="89">
        <f t="shared" si="8"/>
        <v>411352.88200000022</v>
      </c>
      <c r="I135" s="313">
        <f t="shared" si="9"/>
        <v>0.90714639878260606</v>
      </c>
      <c r="J135" s="19"/>
      <c r="K135" s="19"/>
      <c r="L135" s="19"/>
    </row>
    <row r="136" spans="1:12" ht="9" hidden="1" customHeight="1">
      <c r="A136" s="340">
        <v>134</v>
      </c>
      <c r="B136" s="26" t="s">
        <v>663</v>
      </c>
      <c r="C136" s="26" t="s">
        <v>664</v>
      </c>
      <c r="D136" s="341">
        <v>44270</v>
      </c>
      <c r="E136" s="89">
        <v>105.48</v>
      </c>
      <c r="F136" s="89">
        <v>4510286.8272000002</v>
      </c>
      <c r="G136" s="89">
        <v>4090900</v>
      </c>
      <c r="H136" s="89">
        <f t="shared" si="8"/>
        <v>419386.82720000017</v>
      </c>
      <c r="I136" s="313">
        <f t="shared" si="9"/>
        <v>0.90701548631656381</v>
      </c>
      <c r="J136" s="19"/>
      <c r="K136" s="19"/>
      <c r="L136" s="19"/>
    </row>
    <row r="137" spans="1:12" ht="9" hidden="1" customHeight="1">
      <c r="A137" s="340">
        <v>135</v>
      </c>
      <c r="B137" s="26" t="s">
        <v>665</v>
      </c>
      <c r="C137" s="26" t="s">
        <v>666</v>
      </c>
      <c r="D137" s="341">
        <v>44249</v>
      </c>
      <c r="E137" s="89">
        <v>105.48</v>
      </c>
      <c r="F137" s="89">
        <v>5115736.7532000002</v>
      </c>
      <c r="G137" s="89">
        <v>4635805</v>
      </c>
      <c r="H137" s="89">
        <f t="shared" si="8"/>
        <v>479931.75320000015</v>
      </c>
      <c r="I137" s="313">
        <f t="shared" si="9"/>
        <v>0.90618521312696698</v>
      </c>
      <c r="J137" s="19"/>
      <c r="K137" s="19"/>
      <c r="L137" s="19"/>
    </row>
    <row r="138" spans="1:12" ht="9" hidden="1" customHeight="1">
      <c r="A138" s="340">
        <v>136</v>
      </c>
      <c r="B138" s="26" t="s">
        <v>667</v>
      </c>
      <c r="C138" s="26" t="s">
        <v>668</v>
      </c>
      <c r="D138" s="341">
        <v>44253</v>
      </c>
      <c r="E138" s="89">
        <v>105.48</v>
      </c>
      <c r="F138" s="89">
        <v>4063055.8464000002</v>
      </c>
      <c r="G138" s="89">
        <v>3688393</v>
      </c>
      <c r="H138" s="89">
        <f t="shared" si="8"/>
        <v>374662.84640000015</v>
      </c>
      <c r="I138" s="313">
        <f t="shared" si="9"/>
        <v>0.90778791614888488</v>
      </c>
      <c r="J138" s="19"/>
      <c r="K138" s="19"/>
      <c r="L138" s="19"/>
    </row>
    <row r="139" spans="1:12" ht="9" hidden="1" customHeight="1">
      <c r="A139" s="340">
        <v>137</v>
      </c>
      <c r="B139" s="26" t="s">
        <v>669</v>
      </c>
      <c r="C139" s="26" t="s">
        <v>670</v>
      </c>
      <c r="D139" s="341">
        <v>44253</v>
      </c>
      <c r="E139" s="89">
        <v>105.48</v>
      </c>
      <c r="F139" s="89">
        <v>4063055.8464000002</v>
      </c>
      <c r="G139" s="89">
        <v>3688393</v>
      </c>
      <c r="H139" s="89">
        <f t="shared" si="8"/>
        <v>374662.84640000015</v>
      </c>
      <c r="I139" s="313">
        <f t="shared" si="9"/>
        <v>0.90778791614888488</v>
      </c>
      <c r="J139" s="19"/>
      <c r="K139" s="19"/>
      <c r="L139" s="19"/>
    </row>
    <row r="140" spans="1:12" ht="9" hidden="1" customHeight="1">
      <c r="A140" s="340">
        <v>138</v>
      </c>
      <c r="B140" s="26" t="s">
        <v>671</v>
      </c>
      <c r="C140" s="26" t="s">
        <v>672</v>
      </c>
      <c r="D140" s="341">
        <v>44223</v>
      </c>
      <c r="E140" s="89">
        <v>105.48</v>
      </c>
      <c r="F140" s="89">
        <v>5169785.76</v>
      </c>
      <c r="G140" s="89">
        <v>2321170</v>
      </c>
      <c r="H140" s="89">
        <f t="shared" si="8"/>
        <v>2848615.76</v>
      </c>
      <c r="I140" s="313">
        <f t="shared" si="9"/>
        <v>0.44898765785605788</v>
      </c>
      <c r="J140" s="19"/>
      <c r="K140" s="19"/>
      <c r="L140" s="19"/>
    </row>
    <row r="141" spans="1:12" ht="9" hidden="1" customHeight="1">
      <c r="A141" s="340">
        <v>139</v>
      </c>
      <c r="B141" s="26" t="s">
        <v>673</v>
      </c>
      <c r="C141" s="26" t="s">
        <v>674</v>
      </c>
      <c r="D141" s="341">
        <v>44238</v>
      </c>
      <c r="E141" s="89">
        <v>109.613</v>
      </c>
      <c r="F141" s="89">
        <v>5042198.4000000004</v>
      </c>
      <c r="G141" s="89">
        <v>4570859</v>
      </c>
      <c r="H141" s="89">
        <f t="shared" si="8"/>
        <v>471339.40000000037</v>
      </c>
      <c r="I141" s="313">
        <f t="shared" si="9"/>
        <v>0.90652105240444325</v>
      </c>
      <c r="J141" s="19"/>
      <c r="K141" s="19"/>
      <c r="L141" s="19"/>
    </row>
    <row r="142" spans="1:12" ht="9" hidden="1" customHeight="1">
      <c r="A142" s="340">
        <v>140</v>
      </c>
      <c r="B142" s="26" t="s">
        <v>675</v>
      </c>
      <c r="C142" s="26" t="s">
        <v>670</v>
      </c>
      <c r="D142" s="341">
        <v>44281</v>
      </c>
      <c r="E142" s="89">
        <v>109.613</v>
      </c>
      <c r="F142" s="89">
        <v>5590263.4000000004</v>
      </c>
      <c r="G142" s="89">
        <v>5064122</v>
      </c>
      <c r="H142" s="89">
        <f t="shared" si="8"/>
        <v>526141.40000000037</v>
      </c>
      <c r="I142" s="313">
        <f t="shared" si="9"/>
        <v>0.90588253855802214</v>
      </c>
      <c r="J142" s="19"/>
      <c r="K142" s="19"/>
      <c r="L142" s="19"/>
    </row>
    <row r="143" spans="1:12" ht="9" hidden="1" customHeight="1">
      <c r="A143" s="340">
        <v>141</v>
      </c>
      <c r="B143" s="26" t="s">
        <v>676</v>
      </c>
      <c r="C143" s="26" t="s">
        <v>677</v>
      </c>
      <c r="D143" s="341">
        <v>44270</v>
      </c>
      <c r="E143" s="89">
        <v>109.613</v>
      </c>
      <c r="F143" s="89">
        <v>4695602.0939999996</v>
      </c>
      <c r="G143" s="89">
        <v>4258928</v>
      </c>
      <c r="H143" s="89">
        <f t="shared" si="8"/>
        <v>436674.09399999958</v>
      </c>
      <c r="I143" s="313">
        <f t="shared" si="9"/>
        <v>0.90700359927047947</v>
      </c>
      <c r="J143" s="19"/>
      <c r="K143" s="19"/>
      <c r="L143" s="19"/>
    </row>
    <row r="144" spans="1:12" ht="9" hidden="1" customHeight="1">
      <c r="A144" s="340">
        <v>142</v>
      </c>
      <c r="B144" s="26" t="s">
        <v>678</v>
      </c>
      <c r="C144" s="26" t="s">
        <v>679</v>
      </c>
      <c r="D144" s="341">
        <v>44290</v>
      </c>
      <c r="E144" s="89">
        <v>121.274</v>
      </c>
      <c r="F144" s="89">
        <v>5863719.3739999998</v>
      </c>
      <c r="G144" s="89">
        <v>5313731</v>
      </c>
      <c r="H144" s="89">
        <f t="shared" si="8"/>
        <v>549988.37399999984</v>
      </c>
      <c r="I144" s="313">
        <f t="shared" si="9"/>
        <v>0.90620486095588515</v>
      </c>
      <c r="J144" s="19"/>
      <c r="K144" s="19"/>
      <c r="L144" s="19"/>
    </row>
    <row r="145" spans="1:12" ht="9" hidden="1" customHeight="1">
      <c r="A145" s="340">
        <v>143</v>
      </c>
      <c r="B145" s="26" t="s">
        <v>680</v>
      </c>
      <c r="C145" s="26" t="s">
        <v>681</v>
      </c>
      <c r="D145" s="341">
        <v>44299</v>
      </c>
      <c r="E145" s="89">
        <v>121.274</v>
      </c>
      <c r="F145" s="89">
        <v>4062679.2</v>
      </c>
      <c r="G145" s="89">
        <v>3692794</v>
      </c>
      <c r="H145" s="89">
        <f t="shared" si="8"/>
        <v>369885.20000000019</v>
      </c>
      <c r="I145" s="313">
        <f t="shared" si="9"/>
        <v>0.90895535143409789</v>
      </c>
      <c r="J145" s="19"/>
      <c r="K145" s="19"/>
      <c r="L145" s="19"/>
    </row>
    <row r="146" spans="1:12" ht="9" hidden="1" customHeight="1">
      <c r="A146" s="340">
        <v>144</v>
      </c>
      <c r="B146" s="26" t="s">
        <v>682</v>
      </c>
      <c r="C146" s="26" t="s">
        <v>683</v>
      </c>
      <c r="D146" s="341">
        <v>44364</v>
      </c>
      <c r="E146" s="89">
        <v>121.274</v>
      </c>
      <c r="F146" s="89">
        <v>5490923.0980000002</v>
      </c>
      <c r="G146" s="89">
        <v>4978210</v>
      </c>
      <c r="H146" s="89">
        <f t="shared" si="8"/>
        <v>512713.09800000023</v>
      </c>
      <c r="I146" s="313">
        <f t="shared" si="9"/>
        <v>0.90662533624141461</v>
      </c>
      <c r="J146" s="19"/>
      <c r="K146" s="19"/>
      <c r="L146" s="19"/>
    </row>
    <row r="147" spans="1:12" ht="9" hidden="1" customHeight="1">
      <c r="A147" s="340">
        <v>145</v>
      </c>
      <c r="B147" s="26" t="s">
        <v>684</v>
      </c>
      <c r="C147" s="26" t="s">
        <v>685</v>
      </c>
      <c r="D147" s="341">
        <v>44480</v>
      </c>
      <c r="E147" s="89">
        <v>121.274</v>
      </c>
      <c r="F147" s="89">
        <v>5497471.8940000003</v>
      </c>
      <c r="G147" s="89">
        <v>4983835</v>
      </c>
      <c r="H147" s="89">
        <f t="shared" si="8"/>
        <v>513636.89400000032</v>
      </c>
      <c r="I147" s="313">
        <f t="shared" si="9"/>
        <v>0.90656852751524042</v>
      </c>
      <c r="J147" s="19"/>
      <c r="K147" s="19"/>
      <c r="L147" s="19"/>
    </row>
    <row r="148" spans="1:12" ht="9" hidden="1" customHeight="1">
      <c r="A148" s="340">
        <v>146</v>
      </c>
      <c r="B148" s="26" t="s">
        <v>686</v>
      </c>
      <c r="C148" s="26" t="s">
        <v>687</v>
      </c>
      <c r="D148" s="341">
        <v>44472</v>
      </c>
      <c r="E148" s="89">
        <v>121.274</v>
      </c>
      <c r="F148" s="89">
        <v>4139688.19</v>
      </c>
      <c r="G148" s="89">
        <v>3762103</v>
      </c>
      <c r="H148" s="89">
        <f t="shared" si="8"/>
        <v>377585.18999999994</v>
      </c>
      <c r="I148" s="313">
        <f t="shared" si="9"/>
        <v>0.90878897813798876</v>
      </c>
      <c r="J148" s="19"/>
      <c r="K148" s="19"/>
      <c r="L148" s="19"/>
    </row>
    <row r="149" spans="1:12" ht="9" hidden="1" customHeight="1">
      <c r="A149" s="340">
        <v>147</v>
      </c>
      <c r="B149" s="26" t="s">
        <v>688</v>
      </c>
      <c r="C149" s="26" t="s">
        <v>689</v>
      </c>
      <c r="D149" s="341">
        <v>44281</v>
      </c>
      <c r="E149" s="89">
        <v>121.274</v>
      </c>
      <c r="F149" s="89">
        <v>5821152.2000000002</v>
      </c>
      <c r="G149" s="89">
        <v>2608478</v>
      </c>
      <c r="H149" s="89">
        <f t="shared" si="8"/>
        <v>3212674.2</v>
      </c>
      <c r="I149" s="313">
        <f t="shared" si="9"/>
        <v>0.44810338406887901</v>
      </c>
      <c r="J149" s="19"/>
      <c r="K149" s="19"/>
      <c r="L149" s="19"/>
    </row>
    <row r="150" spans="1:12" ht="9" hidden="1" customHeight="1">
      <c r="A150" s="340">
        <v>148</v>
      </c>
      <c r="B150" s="26" t="s">
        <v>690</v>
      </c>
      <c r="C150" s="26" t="s">
        <v>691</v>
      </c>
      <c r="D150" s="341">
        <v>44299</v>
      </c>
      <c r="E150" s="89">
        <v>121.274</v>
      </c>
      <c r="F150" s="89">
        <v>5457330.2000000002</v>
      </c>
      <c r="G150" s="89">
        <v>4947979</v>
      </c>
      <c r="H150" s="89">
        <f t="shared" si="8"/>
        <v>509351.20000000019</v>
      </c>
      <c r="I150" s="313">
        <f t="shared" si="9"/>
        <v>0.90666659679122952</v>
      </c>
      <c r="J150" s="19"/>
      <c r="K150" s="19"/>
      <c r="L150" s="19"/>
    </row>
    <row r="151" spans="1:12" ht="9" hidden="1" customHeight="1">
      <c r="A151" s="340">
        <v>149</v>
      </c>
      <c r="B151" s="26" t="s">
        <v>692</v>
      </c>
      <c r="C151" s="26" t="s">
        <v>693</v>
      </c>
      <c r="D151" s="341">
        <v>44285</v>
      </c>
      <c r="E151" s="89">
        <v>121.274</v>
      </c>
      <c r="F151" s="89">
        <v>6027318</v>
      </c>
      <c r="G151" s="89">
        <v>5460971</v>
      </c>
      <c r="H151" s="89">
        <f t="shared" si="8"/>
        <v>566347</v>
      </c>
      <c r="I151" s="313">
        <f t="shared" si="9"/>
        <v>0.90603664847283649</v>
      </c>
      <c r="J151" s="19"/>
      <c r="K151" s="19"/>
      <c r="L151" s="19"/>
    </row>
    <row r="152" spans="1:12" ht="9" hidden="1" customHeight="1">
      <c r="A152" s="340">
        <v>150</v>
      </c>
      <c r="B152" s="26" t="s">
        <v>694</v>
      </c>
      <c r="C152" s="26" t="s">
        <v>695</v>
      </c>
      <c r="D152" s="341">
        <v>44361</v>
      </c>
      <c r="E152" s="89">
        <v>121.274</v>
      </c>
      <c r="F152" s="89">
        <v>4815184.37</v>
      </c>
      <c r="G152" s="89">
        <v>2104407</v>
      </c>
      <c r="H152" s="89">
        <f t="shared" si="8"/>
        <v>2710777.37</v>
      </c>
      <c r="I152" s="313">
        <f t="shared" si="9"/>
        <v>0.43703560202410274</v>
      </c>
      <c r="J152" s="19"/>
      <c r="K152" s="19"/>
      <c r="L152" s="19"/>
    </row>
    <row r="153" spans="1:12" ht="9" hidden="1" customHeight="1">
      <c r="A153" s="340">
        <v>151</v>
      </c>
      <c r="B153" s="26" t="s">
        <v>696</v>
      </c>
      <c r="C153" s="26" t="s">
        <v>697</v>
      </c>
      <c r="D153" s="341">
        <v>44293</v>
      </c>
      <c r="E153" s="89">
        <v>121.274</v>
      </c>
      <c r="F153" s="89">
        <v>6245611.2000000002</v>
      </c>
      <c r="G153" s="89">
        <v>5650265.2599999998</v>
      </c>
      <c r="H153" s="89">
        <f t="shared" si="8"/>
        <v>595345.94000000041</v>
      </c>
      <c r="I153" s="313">
        <f t="shared" si="9"/>
        <v>0.90467771352786086</v>
      </c>
      <c r="J153" s="19"/>
      <c r="K153" s="19"/>
      <c r="L153" s="19"/>
    </row>
    <row r="154" spans="1:12" ht="9" hidden="1" customHeight="1">
      <c r="A154" s="340">
        <v>152</v>
      </c>
      <c r="B154" s="26" t="s">
        <v>698</v>
      </c>
      <c r="C154" s="26" t="s">
        <v>699</v>
      </c>
      <c r="D154" s="341">
        <v>44301</v>
      </c>
      <c r="E154" s="89">
        <v>121.274</v>
      </c>
      <c r="F154" s="89">
        <v>6003063.2000000002</v>
      </c>
      <c r="G154" s="89">
        <v>5439136</v>
      </c>
      <c r="H154" s="89">
        <f t="shared" si="8"/>
        <v>563927.20000000019</v>
      </c>
      <c r="I154" s="313">
        <f t="shared" si="9"/>
        <v>0.9060600927872956</v>
      </c>
      <c r="J154" s="19"/>
      <c r="K154" s="19"/>
      <c r="L154" s="19"/>
    </row>
    <row r="155" spans="1:12" ht="9" hidden="1" customHeight="1">
      <c r="A155" s="340">
        <v>153</v>
      </c>
      <c r="B155" s="26" t="s">
        <v>700</v>
      </c>
      <c r="C155" s="26" t="s">
        <v>701</v>
      </c>
      <c r="D155" s="341">
        <v>44300</v>
      </c>
      <c r="E155" s="89">
        <v>121.274</v>
      </c>
      <c r="F155" s="89">
        <v>6063700.2000000002</v>
      </c>
      <c r="G155" s="89">
        <v>2728665</v>
      </c>
      <c r="H155" s="89">
        <f t="shared" si="8"/>
        <v>3335035.2</v>
      </c>
      <c r="I155" s="313">
        <f t="shared" si="9"/>
        <v>0.44999998515757755</v>
      </c>
      <c r="J155" s="19"/>
      <c r="K155" s="19"/>
      <c r="L155" s="19"/>
    </row>
    <row r="156" spans="1:12" ht="9" hidden="1" customHeight="1">
      <c r="A156" s="340">
        <v>154</v>
      </c>
      <c r="B156" s="26" t="s">
        <v>702</v>
      </c>
      <c r="C156" s="26" t="s">
        <v>703</v>
      </c>
      <c r="D156" s="341">
        <v>44281</v>
      </c>
      <c r="E156" s="89">
        <v>121.274</v>
      </c>
      <c r="F156" s="89">
        <v>5563687.4979999997</v>
      </c>
      <c r="G156" s="89">
        <v>5043703</v>
      </c>
      <c r="H156" s="89">
        <f t="shared" si="8"/>
        <v>519984.49799999967</v>
      </c>
      <c r="I156" s="313">
        <f t="shared" si="9"/>
        <v>0.90653959299710485</v>
      </c>
      <c r="J156" s="19"/>
      <c r="K156" s="19"/>
      <c r="L156" s="19"/>
    </row>
    <row r="157" spans="1:12" ht="9" hidden="1" customHeight="1">
      <c r="A157" s="340">
        <v>155</v>
      </c>
      <c r="B157" s="26" t="s">
        <v>704</v>
      </c>
      <c r="C157" s="26" t="s">
        <v>705</v>
      </c>
      <c r="D157" s="341">
        <v>44236</v>
      </c>
      <c r="E157" s="89">
        <v>121.274</v>
      </c>
      <c r="F157" s="89">
        <v>6337779.2000000002</v>
      </c>
      <c r="G157" s="89">
        <v>5868061</v>
      </c>
      <c r="H157" s="89">
        <f t="shared" si="8"/>
        <v>469718.20000000019</v>
      </c>
      <c r="I157" s="313">
        <f t="shared" si="9"/>
        <v>0.92588599489234336</v>
      </c>
      <c r="J157" s="19"/>
      <c r="K157" s="19"/>
      <c r="L157" s="19"/>
    </row>
    <row r="158" spans="1:12" ht="13.5" customHeight="1">
      <c r="A158" s="340">
        <v>156</v>
      </c>
      <c r="B158" s="26" t="s">
        <v>706</v>
      </c>
      <c r="C158" s="26" t="s">
        <v>707</v>
      </c>
      <c r="D158" s="341">
        <v>44845</v>
      </c>
      <c r="E158" s="89">
        <v>121.274</v>
      </c>
      <c r="F158" s="89">
        <v>7138187.6399999997</v>
      </c>
      <c r="G158" s="89">
        <v>2450000</v>
      </c>
      <c r="H158" s="89">
        <f t="shared" si="8"/>
        <v>4688187.6399999997</v>
      </c>
      <c r="I158" s="313">
        <f t="shared" si="9"/>
        <v>0.34322437620874874</v>
      </c>
      <c r="J158" s="19"/>
      <c r="K158" s="19"/>
      <c r="L158" s="91"/>
    </row>
    <row r="159" spans="1:12" ht="13.5" customHeight="1">
      <c r="A159" s="340">
        <v>157</v>
      </c>
      <c r="B159" s="26" t="s">
        <v>708</v>
      </c>
      <c r="C159" s="26" t="s">
        <v>709</v>
      </c>
      <c r="D159" s="341">
        <v>44854</v>
      </c>
      <c r="E159" s="89">
        <v>121.274</v>
      </c>
      <c r="F159" s="89">
        <v>4173523.4360000002</v>
      </c>
      <c r="G159" s="89">
        <v>1550000</v>
      </c>
      <c r="H159" s="89">
        <f t="shared" si="8"/>
        <v>2623523.4360000002</v>
      </c>
      <c r="I159" s="313">
        <f t="shared" si="9"/>
        <v>0.37138883338476114</v>
      </c>
      <c r="J159" s="19"/>
      <c r="K159" s="19"/>
      <c r="L159" s="91"/>
    </row>
    <row r="160" spans="1:12" ht="13.5" customHeight="1">
      <c r="A160" s="340">
        <v>158</v>
      </c>
      <c r="B160" s="26" t="s">
        <v>710</v>
      </c>
      <c r="C160" s="26" t="s">
        <v>711</v>
      </c>
      <c r="D160" s="341">
        <v>44875</v>
      </c>
      <c r="E160" s="89">
        <v>121.274</v>
      </c>
      <c r="F160" s="89">
        <v>6607372</v>
      </c>
      <c r="G160" s="89">
        <v>2924806</v>
      </c>
      <c r="H160" s="89">
        <f t="shared" si="8"/>
        <v>3682566</v>
      </c>
      <c r="I160" s="313">
        <f t="shared" si="9"/>
        <v>0.44265798868294381</v>
      </c>
      <c r="J160" s="19"/>
      <c r="K160" s="19"/>
      <c r="L160" s="91"/>
    </row>
    <row r="161" spans="1:12" ht="13.5" customHeight="1">
      <c r="A161" s="340">
        <v>159</v>
      </c>
      <c r="B161" s="26" t="s">
        <v>712</v>
      </c>
      <c r="C161" s="26" t="s">
        <v>713</v>
      </c>
      <c r="D161" s="341">
        <v>44845</v>
      </c>
      <c r="E161" s="89">
        <v>121.274</v>
      </c>
      <c r="F161" s="89">
        <v>6861804.1940000001</v>
      </c>
      <c r="G161" s="89">
        <v>3653794</v>
      </c>
      <c r="H161" s="89">
        <f t="shared" si="8"/>
        <v>3208010.1940000001</v>
      </c>
      <c r="I161" s="313">
        <f t="shared" si="9"/>
        <v>0.53248298795743809</v>
      </c>
      <c r="J161" s="19"/>
      <c r="K161" s="19"/>
      <c r="L161" s="91"/>
    </row>
    <row r="162" spans="1:12" ht="13.5" customHeight="1">
      <c r="A162" s="340">
        <v>160</v>
      </c>
      <c r="B162" s="26" t="s">
        <v>714</v>
      </c>
      <c r="C162" s="26" t="s">
        <v>715</v>
      </c>
      <c r="D162" s="341">
        <v>44870</v>
      </c>
      <c r="E162" s="89">
        <v>121.274</v>
      </c>
      <c r="F162" s="89">
        <v>4141143.2779999999</v>
      </c>
      <c r="G162" s="89">
        <v>1876000</v>
      </c>
      <c r="H162" s="89">
        <f t="shared" si="8"/>
        <v>2265143.2779999999</v>
      </c>
      <c r="I162" s="313">
        <f t="shared" si="9"/>
        <v>0.4530149946673736</v>
      </c>
      <c r="J162" s="19"/>
      <c r="K162" s="19"/>
      <c r="L162" s="91"/>
    </row>
    <row r="163" spans="1:12" ht="13.5" customHeight="1">
      <c r="A163" s="340">
        <v>161</v>
      </c>
      <c r="B163" s="26" t="s">
        <v>716</v>
      </c>
      <c r="C163" s="26" t="s">
        <v>717</v>
      </c>
      <c r="D163" s="341">
        <v>44867</v>
      </c>
      <c r="E163" s="89">
        <v>121.274</v>
      </c>
      <c r="F163" s="89">
        <v>5097753</v>
      </c>
      <c r="G163" s="89">
        <v>3566147.39</v>
      </c>
      <c r="H163" s="89">
        <f t="shared" ref="H163:H194" si="10">F163-G163</f>
        <v>1531605.6099999999</v>
      </c>
      <c r="I163" s="313">
        <f t="shared" ref="I163:I182" si="11">G163/F163</f>
        <v>0.69955280100860129</v>
      </c>
      <c r="J163" s="19"/>
      <c r="K163" s="19"/>
      <c r="L163" s="91"/>
    </row>
    <row r="164" spans="1:12" ht="13.5" customHeight="1">
      <c r="A164" s="340">
        <v>162</v>
      </c>
      <c r="B164" s="26" t="s">
        <v>718</v>
      </c>
      <c r="C164" s="26" t="s">
        <v>719</v>
      </c>
      <c r="D164" s="341">
        <v>44872</v>
      </c>
      <c r="E164" s="89">
        <v>121.274</v>
      </c>
      <c r="F164" s="89">
        <v>4002042</v>
      </c>
      <c r="G164" s="89">
        <v>400000</v>
      </c>
      <c r="H164" s="89">
        <f t="shared" si="10"/>
        <v>3602042</v>
      </c>
      <c r="I164" s="313">
        <f t="shared" si="11"/>
        <v>9.9948976047727636E-2</v>
      </c>
      <c r="J164" s="19"/>
      <c r="K164" s="19"/>
      <c r="L164" s="91"/>
    </row>
    <row r="165" spans="1:12" ht="13.5" customHeight="1">
      <c r="A165" s="340">
        <v>163</v>
      </c>
      <c r="B165" s="26" t="s">
        <v>720</v>
      </c>
      <c r="C165" s="26" t="s">
        <v>721</v>
      </c>
      <c r="D165" s="341">
        <v>44846</v>
      </c>
      <c r="E165" s="89">
        <v>121.274</v>
      </c>
      <c r="F165" s="89">
        <v>5197682.3660000004</v>
      </c>
      <c r="G165" s="89">
        <v>2000000</v>
      </c>
      <c r="H165" s="89">
        <f t="shared" si="10"/>
        <v>3197682.3660000004</v>
      </c>
      <c r="I165" s="313">
        <f t="shared" si="11"/>
        <v>0.38478688368545833</v>
      </c>
      <c r="J165" s="19"/>
      <c r="K165" s="19"/>
      <c r="L165" s="91"/>
    </row>
    <row r="166" spans="1:12" ht="13.5" customHeight="1">
      <c r="A166" s="340">
        <v>164</v>
      </c>
      <c r="B166" s="26" t="s">
        <v>722</v>
      </c>
      <c r="C166" s="26" t="s">
        <v>723</v>
      </c>
      <c r="D166" s="341">
        <v>44888</v>
      </c>
      <c r="E166" s="89">
        <v>121.274</v>
      </c>
      <c r="F166" s="89">
        <v>7361331.7999999998</v>
      </c>
      <c r="G166" s="89">
        <v>3103369</v>
      </c>
      <c r="H166" s="89">
        <f t="shared" si="10"/>
        <v>4257962.8</v>
      </c>
      <c r="I166" s="313">
        <f t="shared" si="11"/>
        <v>0.42157711190249569</v>
      </c>
      <c r="J166" s="19"/>
      <c r="K166" s="19"/>
      <c r="L166" s="91"/>
    </row>
    <row r="167" spans="1:12" ht="13.5" customHeight="1">
      <c r="A167" s="340">
        <v>165</v>
      </c>
      <c r="B167" s="26" t="s">
        <v>724</v>
      </c>
      <c r="C167" s="26" t="s">
        <v>725</v>
      </c>
      <c r="D167" s="341">
        <v>44883</v>
      </c>
      <c r="E167" s="89">
        <v>121.274</v>
      </c>
      <c r="F167" s="89">
        <v>6367977</v>
      </c>
      <c r="G167" s="89">
        <v>3209350</v>
      </c>
      <c r="H167" s="89">
        <f t="shared" si="10"/>
        <v>3158627</v>
      </c>
      <c r="I167" s="313">
        <f t="shared" si="11"/>
        <v>0.50398266199767994</v>
      </c>
      <c r="J167" s="19"/>
      <c r="K167" s="19"/>
      <c r="L167" s="91"/>
    </row>
    <row r="168" spans="1:12" ht="13.5" customHeight="1">
      <c r="A168" s="340">
        <v>166</v>
      </c>
      <c r="B168" s="26" t="s">
        <v>726</v>
      </c>
      <c r="C168" s="26" t="s">
        <v>727</v>
      </c>
      <c r="D168" s="341">
        <v>44875</v>
      </c>
      <c r="E168" s="89">
        <v>121.274</v>
      </c>
      <c r="F168" s="89">
        <v>7428639</v>
      </c>
      <c r="G168" s="89">
        <v>6657868.4400000004</v>
      </c>
      <c r="H168" s="89">
        <f t="shared" si="10"/>
        <v>770770.55999999959</v>
      </c>
      <c r="I168" s="313">
        <f t="shared" si="11"/>
        <v>0.89624336840166829</v>
      </c>
      <c r="J168" s="19"/>
      <c r="K168" s="19"/>
      <c r="L168" s="91"/>
    </row>
    <row r="169" spans="1:12" ht="13.5" customHeight="1">
      <c r="A169" s="340">
        <v>167</v>
      </c>
      <c r="B169" s="26" t="s">
        <v>728</v>
      </c>
      <c r="C169" s="26" t="s">
        <v>729</v>
      </c>
      <c r="D169" s="341">
        <v>44872</v>
      </c>
      <c r="E169" s="89">
        <v>121.274</v>
      </c>
      <c r="F169" s="89">
        <v>6337052</v>
      </c>
      <c r="G169" s="89">
        <v>2181517</v>
      </c>
      <c r="H169" s="89">
        <f t="shared" si="10"/>
        <v>4155535</v>
      </c>
      <c r="I169" s="313">
        <f t="shared" si="11"/>
        <v>0.34424792474481825</v>
      </c>
      <c r="J169" s="19"/>
      <c r="K169" s="19"/>
      <c r="L169" s="91"/>
    </row>
    <row r="170" spans="1:12" ht="13.5" customHeight="1">
      <c r="A170" s="340">
        <v>168</v>
      </c>
      <c r="B170" s="26" t="s">
        <v>730</v>
      </c>
      <c r="C170" s="26" t="s">
        <v>731</v>
      </c>
      <c r="D170" s="341">
        <v>44845</v>
      </c>
      <c r="E170" s="89">
        <v>121.274</v>
      </c>
      <c r="F170" s="89">
        <v>5869661.5999999996</v>
      </c>
      <c r="G170" s="89">
        <v>1760867</v>
      </c>
      <c r="H170" s="89">
        <f t="shared" si="10"/>
        <v>4108794.5999999996</v>
      </c>
      <c r="I170" s="313">
        <f t="shared" si="11"/>
        <v>0.299994636828808</v>
      </c>
      <c r="J170" s="19"/>
      <c r="K170" s="19"/>
      <c r="L170" s="91"/>
    </row>
    <row r="171" spans="1:12" ht="13.5" customHeight="1">
      <c r="A171" s="340">
        <v>169</v>
      </c>
      <c r="B171" s="26" t="s">
        <v>732</v>
      </c>
      <c r="C171" s="26" t="s">
        <v>733</v>
      </c>
      <c r="D171" s="341">
        <v>44845</v>
      </c>
      <c r="E171" s="89">
        <v>121.274</v>
      </c>
      <c r="F171" s="89">
        <v>6366885</v>
      </c>
      <c r="G171" s="89">
        <v>2525634</v>
      </c>
      <c r="H171" s="89">
        <f t="shared" si="10"/>
        <v>3841251</v>
      </c>
      <c r="I171" s="313">
        <f t="shared" si="11"/>
        <v>0.3966828362692274</v>
      </c>
      <c r="J171" s="19"/>
      <c r="K171" s="19"/>
      <c r="L171" s="91"/>
    </row>
    <row r="172" spans="1:12" ht="13.5" customHeight="1">
      <c r="A172" s="340">
        <v>170</v>
      </c>
      <c r="B172" s="26" t="s">
        <v>734</v>
      </c>
      <c r="C172" s="26" t="s">
        <v>735</v>
      </c>
      <c r="D172" s="341">
        <v>44908</v>
      </c>
      <c r="E172" s="89">
        <v>121.274</v>
      </c>
      <c r="F172" s="89">
        <v>7761536</v>
      </c>
      <c r="G172" s="89">
        <v>4600000</v>
      </c>
      <c r="H172" s="89">
        <f t="shared" si="10"/>
        <v>3161536</v>
      </c>
      <c r="I172" s="313">
        <f t="shared" si="11"/>
        <v>0.59266619390801001</v>
      </c>
      <c r="J172" s="19"/>
      <c r="K172" s="19"/>
      <c r="L172" s="91"/>
    </row>
    <row r="173" spans="1:12" ht="9" hidden="1" customHeight="1">
      <c r="A173" s="340">
        <v>171</v>
      </c>
      <c r="B173" s="26" t="s">
        <v>736</v>
      </c>
      <c r="C173" s="26" t="s">
        <v>579</v>
      </c>
      <c r="D173" s="341">
        <v>44930</v>
      </c>
      <c r="E173" s="89">
        <v>121.274</v>
      </c>
      <c r="F173" s="89">
        <v>4244590</v>
      </c>
      <c r="G173" s="89">
        <v>2598302</v>
      </c>
      <c r="H173" s="89">
        <f t="shared" si="10"/>
        <v>1646288</v>
      </c>
      <c r="I173" s="313">
        <f t="shared" si="11"/>
        <v>0.61214440028365524</v>
      </c>
      <c r="J173" s="19"/>
      <c r="K173" s="19"/>
      <c r="L173" s="91"/>
    </row>
    <row r="174" spans="1:12" ht="13.5" customHeight="1">
      <c r="A174" s="340">
        <v>172</v>
      </c>
      <c r="B174" s="26" t="s">
        <v>737</v>
      </c>
      <c r="C174" s="26" t="s">
        <v>738</v>
      </c>
      <c r="D174" s="341">
        <v>44882</v>
      </c>
      <c r="E174" s="89">
        <v>121.274</v>
      </c>
      <c r="F174" s="89">
        <v>6245611</v>
      </c>
      <c r="G174" s="89">
        <v>2599221</v>
      </c>
      <c r="H174" s="89">
        <f t="shared" si="10"/>
        <v>3646390</v>
      </c>
      <c r="I174" s="313">
        <f t="shared" si="11"/>
        <v>0.41616760954212484</v>
      </c>
      <c r="J174" s="19"/>
      <c r="K174" s="19"/>
      <c r="L174" s="91"/>
    </row>
    <row r="175" spans="1:12" ht="13.5" customHeight="1">
      <c r="A175" s="340">
        <v>173</v>
      </c>
      <c r="B175" s="26" t="s">
        <v>739</v>
      </c>
      <c r="C175" s="26" t="s">
        <v>430</v>
      </c>
      <c r="D175" s="341">
        <v>44883</v>
      </c>
      <c r="E175" s="89">
        <v>121.274</v>
      </c>
      <c r="F175" s="89">
        <v>5606376</v>
      </c>
      <c r="G175" s="89">
        <v>3023909</v>
      </c>
      <c r="H175" s="89">
        <f t="shared" si="10"/>
        <v>2582467</v>
      </c>
      <c r="I175" s="313">
        <f t="shared" si="11"/>
        <v>0.53936963913943692</v>
      </c>
      <c r="J175" s="19"/>
      <c r="K175" s="19"/>
      <c r="L175" s="91"/>
    </row>
    <row r="176" spans="1:12" ht="13.5" customHeight="1">
      <c r="A176" s="340">
        <v>174</v>
      </c>
      <c r="B176" s="26" t="s">
        <v>740</v>
      </c>
      <c r="C176" s="26" t="s">
        <v>741</v>
      </c>
      <c r="D176" s="341">
        <v>44845</v>
      </c>
      <c r="E176" s="89">
        <v>121.274</v>
      </c>
      <c r="F176" s="89">
        <v>8004084</v>
      </c>
      <c r="G176" s="89">
        <v>7181846</v>
      </c>
      <c r="H176" s="89">
        <f t="shared" si="10"/>
        <v>822238</v>
      </c>
      <c r="I176" s="313">
        <f t="shared" si="11"/>
        <v>0.8972726922905857</v>
      </c>
      <c r="J176" s="19"/>
      <c r="K176" s="19"/>
      <c r="L176" s="91"/>
    </row>
    <row r="177" spans="1:12" ht="13.5" customHeight="1">
      <c r="A177" s="340">
        <v>175</v>
      </c>
      <c r="B177" s="26" t="s">
        <v>742</v>
      </c>
      <c r="C177" s="26" t="s">
        <v>743</v>
      </c>
      <c r="D177" s="341">
        <v>44875</v>
      </c>
      <c r="E177" s="89">
        <v>121.274</v>
      </c>
      <c r="F177" s="89">
        <v>8016333</v>
      </c>
      <c r="G177" s="89">
        <v>2397623</v>
      </c>
      <c r="H177" s="89">
        <f t="shared" si="10"/>
        <v>5618710</v>
      </c>
      <c r="I177" s="313">
        <f t="shared" si="11"/>
        <v>0.29909224080386881</v>
      </c>
      <c r="J177" s="19"/>
      <c r="K177" s="19"/>
      <c r="L177" s="91"/>
    </row>
    <row r="178" spans="1:12" ht="13.5" customHeight="1">
      <c r="A178" s="340">
        <v>176</v>
      </c>
      <c r="B178" s="26" t="s">
        <v>744</v>
      </c>
      <c r="C178" s="26" t="s">
        <v>745</v>
      </c>
      <c r="D178" s="341">
        <v>44870</v>
      </c>
      <c r="E178" s="89">
        <v>121.274</v>
      </c>
      <c r="F178" s="89">
        <v>5988146</v>
      </c>
      <c r="G178" s="89">
        <v>2367502</v>
      </c>
      <c r="H178" s="89">
        <f t="shared" si="10"/>
        <v>3620644</v>
      </c>
      <c r="I178" s="313">
        <f t="shared" si="11"/>
        <v>0.39536477567514217</v>
      </c>
      <c r="J178" s="19"/>
      <c r="K178" s="19"/>
      <c r="L178" s="91"/>
    </row>
    <row r="179" spans="1:12" ht="9" hidden="1" customHeight="1">
      <c r="A179" s="340">
        <v>177</v>
      </c>
      <c r="B179" s="26" t="s">
        <v>746</v>
      </c>
      <c r="C179" s="26" t="s">
        <v>747</v>
      </c>
      <c r="D179" s="341">
        <v>44931</v>
      </c>
      <c r="E179" s="89">
        <v>128.4</v>
      </c>
      <c r="F179" s="89">
        <v>6034800</v>
      </c>
      <c r="G179" s="89">
        <v>2711787</v>
      </c>
      <c r="H179" s="89">
        <f t="shared" si="10"/>
        <v>3323013</v>
      </c>
      <c r="I179" s="313">
        <f t="shared" si="11"/>
        <v>0.44935822231059852</v>
      </c>
      <c r="J179" s="19"/>
      <c r="K179" s="19"/>
      <c r="L179" s="91"/>
    </row>
    <row r="180" spans="1:12" ht="13.5" customHeight="1">
      <c r="A180" s="340">
        <v>178</v>
      </c>
      <c r="B180" s="26" t="s">
        <v>748</v>
      </c>
      <c r="C180" s="26" t="s">
        <v>749</v>
      </c>
      <c r="D180" s="341">
        <v>44847</v>
      </c>
      <c r="E180" s="89">
        <v>128.4</v>
      </c>
      <c r="F180" s="89">
        <v>4237200</v>
      </c>
      <c r="G180" s="89">
        <v>2740368</v>
      </c>
      <c r="H180" s="89">
        <f t="shared" si="10"/>
        <v>1496832</v>
      </c>
      <c r="I180" s="313">
        <f t="shared" si="11"/>
        <v>0.64674030019824413</v>
      </c>
      <c r="J180" s="19"/>
      <c r="K180" s="19"/>
      <c r="L180" s="91"/>
    </row>
    <row r="181" spans="1:12" ht="9" hidden="1" customHeight="1">
      <c r="A181" s="340">
        <v>179</v>
      </c>
      <c r="B181" s="26" t="s">
        <v>750</v>
      </c>
      <c r="C181" s="26" t="s">
        <v>751</v>
      </c>
      <c r="D181" s="341">
        <v>44930</v>
      </c>
      <c r="E181" s="89">
        <v>128.4</v>
      </c>
      <c r="F181" s="89">
        <v>5248478.4000000004</v>
      </c>
      <c r="G181" s="89">
        <v>2850518</v>
      </c>
      <c r="H181" s="89">
        <f t="shared" si="10"/>
        <v>2397960.4000000004</v>
      </c>
      <c r="I181" s="313">
        <f t="shared" si="11"/>
        <v>0.5431132192522693</v>
      </c>
      <c r="J181" s="19"/>
      <c r="K181" s="19"/>
      <c r="L181" s="91"/>
    </row>
    <row r="182" spans="1:12" ht="13.5" customHeight="1">
      <c r="A182" s="340">
        <v>180</v>
      </c>
      <c r="B182" s="26" t="s">
        <v>752</v>
      </c>
      <c r="C182" s="26" t="s">
        <v>753</v>
      </c>
      <c r="D182" s="341">
        <v>44872</v>
      </c>
      <c r="E182" s="89">
        <v>128.4</v>
      </c>
      <c r="F182" s="89">
        <v>5432476</v>
      </c>
      <c r="G182" s="89">
        <v>2100882</v>
      </c>
      <c r="H182" s="89">
        <f t="shared" si="10"/>
        <v>3331594</v>
      </c>
      <c r="I182" s="313">
        <f t="shared" si="11"/>
        <v>0.38672642088064446</v>
      </c>
      <c r="J182" s="19"/>
      <c r="K182" s="19"/>
      <c r="L182" s="91"/>
    </row>
    <row r="183" spans="1:12" ht="13.5" customHeight="1">
      <c r="A183" s="134"/>
      <c r="B183" s="134"/>
      <c r="C183" s="134"/>
      <c r="D183" s="134"/>
      <c r="E183" s="89">
        <f>SUBTOTAL(9,E3:E182)</f>
        <v>21680.853000000025</v>
      </c>
      <c r="F183" s="89">
        <f>SUBTOTAL(9,F3:F182)</f>
        <v>968978655.24600089</v>
      </c>
      <c r="G183" s="89">
        <f>SUBTOTAL(9,G3:G182)</f>
        <v>671697644.12</v>
      </c>
      <c r="H183" s="89">
        <f>SUBTOTAL(9,H3:H182)</f>
        <v>297281011.12599945</v>
      </c>
      <c r="I183" s="87"/>
      <c r="J183" s="19"/>
      <c r="K183" s="19"/>
      <c r="L183" s="19"/>
    </row>
    <row r="184" spans="1:12" ht="13.5" customHeight="1">
      <c r="A184" s="100"/>
      <c r="B184" s="100"/>
      <c r="C184" s="100"/>
      <c r="D184" s="100"/>
      <c r="E184" s="121"/>
      <c r="F184" s="121"/>
      <c r="G184" s="121"/>
      <c r="H184" s="121"/>
      <c r="I184" s="19"/>
      <c r="J184" s="19"/>
      <c r="K184" s="19"/>
      <c r="L184" s="19"/>
    </row>
    <row r="185" spans="1:12" ht="13.5" customHeight="1">
      <c r="A185" s="343">
        <v>116</v>
      </c>
      <c r="B185" s="19"/>
      <c r="C185" s="19"/>
      <c r="D185" s="19"/>
      <c r="E185" s="343">
        <v>13843.272999999999</v>
      </c>
      <c r="F185" s="343">
        <v>620257744</v>
      </c>
      <c r="G185" s="343">
        <v>484229963.29000002</v>
      </c>
      <c r="H185" s="343">
        <v>136027780.71000001</v>
      </c>
      <c r="I185" s="19"/>
      <c r="J185" s="19"/>
      <c r="K185" s="19"/>
      <c r="L185" s="19"/>
    </row>
    <row r="186" spans="1:12" ht="13.5" customHeight="1">
      <c r="A186" s="19"/>
      <c r="B186" s="19"/>
      <c r="C186" s="19"/>
      <c r="D186" s="19"/>
      <c r="E186" s="91"/>
      <c r="F186" s="91"/>
      <c r="G186" s="91"/>
      <c r="H186" s="91">
        <f>H183-H185</f>
        <v>161253230.41599944</v>
      </c>
      <c r="I186" s="19"/>
      <c r="J186" s="19"/>
      <c r="K186" s="19"/>
      <c r="L186" s="19"/>
    </row>
    <row r="187" spans="1:12" ht="13.5" customHeight="1">
      <c r="A187" s="19"/>
      <c r="B187" s="19"/>
      <c r="C187" s="19"/>
      <c r="D187" s="19"/>
      <c r="E187" s="91"/>
      <c r="F187" s="91"/>
      <c r="G187" s="91"/>
      <c r="H187" s="91">
        <f>H186*0.65</f>
        <v>104814599.77039964</v>
      </c>
      <c r="I187" s="19"/>
      <c r="J187" s="19"/>
      <c r="K187" s="19"/>
      <c r="L187" s="19"/>
    </row>
    <row r="188" spans="1:12" ht="13.5" customHeight="1">
      <c r="A188" s="19"/>
      <c r="B188" s="19"/>
      <c r="C188" s="19"/>
      <c r="D188" s="19"/>
      <c r="E188" s="91"/>
      <c r="F188" s="91"/>
      <c r="G188" s="91"/>
      <c r="H188" s="91"/>
      <c r="I188" s="19"/>
      <c r="J188" s="19"/>
      <c r="K188" s="19"/>
      <c r="L188" s="19"/>
    </row>
    <row r="189" spans="1:12" ht="13.5" customHeight="1">
      <c r="A189" s="19"/>
      <c r="B189" s="19"/>
      <c r="C189" s="19"/>
      <c r="D189" s="19"/>
      <c r="E189" s="91"/>
      <c r="F189" s="91"/>
      <c r="G189" s="91"/>
      <c r="H189" s="91"/>
      <c r="I189" s="19"/>
      <c r="J189" s="19"/>
      <c r="K189" s="19"/>
      <c r="L189" s="19"/>
    </row>
    <row r="190" spans="1:12" ht="13.5" customHeight="1">
      <c r="A190" s="19"/>
      <c r="B190" s="19"/>
      <c r="C190" s="19"/>
      <c r="D190" s="19"/>
      <c r="E190" s="91"/>
      <c r="F190" s="91"/>
      <c r="G190" s="91"/>
      <c r="H190" s="91"/>
      <c r="I190" s="19"/>
      <c r="J190" s="19"/>
      <c r="K190" s="19"/>
      <c r="L190" s="19"/>
    </row>
    <row r="191" spans="1:12" ht="13.5" customHeight="1">
      <c r="A191" s="19"/>
      <c r="B191" s="19"/>
      <c r="C191" s="19"/>
      <c r="D191" s="19"/>
      <c r="E191" s="91"/>
      <c r="F191" s="91"/>
      <c r="G191" s="91"/>
      <c r="H191" s="91"/>
      <c r="I191" s="19"/>
      <c r="J191" s="19"/>
      <c r="K191" s="19"/>
      <c r="L191" s="19"/>
    </row>
    <row r="192" spans="1:12" ht="13.5" customHeight="1">
      <c r="A192" s="19"/>
      <c r="B192" s="19"/>
      <c r="C192" s="19"/>
      <c r="D192" s="19"/>
      <c r="E192" s="91"/>
      <c r="F192" s="91"/>
      <c r="G192" s="91"/>
      <c r="H192" s="91"/>
      <c r="I192" s="19"/>
      <c r="J192" s="19"/>
      <c r="K192" s="19"/>
      <c r="L192" s="19"/>
    </row>
    <row r="193" spans="1:12" ht="13.5" customHeight="1">
      <c r="A193" s="19"/>
      <c r="B193" s="19"/>
      <c r="C193" s="19"/>
      <c r="D193" s="19"/>
      <c r="E193" s="91"/>
      <c r="F193" s="91"/>
      <c r="G193" s="91"/>
      <c r="H193" s="91"/>
      <c r="I193" s="19"/>
      <c r="J193" s="19"/>
      <c r="K193" s="19"/>
      <c r="L193" s="19"/>
    </row>
    <row r="194" spans="1:12" ht="13.5" customHeight="1">
      <c r="A194" s="19"/>
      <c r="B194" s="19"/>
      <c r="C194" s="19"/>
      <c r="D194" s="19"/>
      <c r="E194" s="91"/>
      <c r="F194" s="91"/>
      <c r="G194" s="91"/>
      <c r="H194" s="91"/>
      <c r="I194" s="19"/>
      <c r="J194" s="19"/>
      <c r="K194" s="19"/>
      <c r="L194" s="19"/>
    </row>
    <row r="195" spans="1:12" ht="13.5" customHeight="1">
      <c r="A195" s="19"/>
      <c r="B195" s="19"/>
      <c r="C195" s="19"/>
      <c r="D195" s="19"/>
      <c r="E195" s="91"/>
      <c r="F195" s="91"/>
      <c r="G195" s="91"/>
      <c r="H195" s="91"/>
      <c r="I195" s="19"/>
      <c r="J195" s="19"/>
      <c r="K195" s="19"/>
      <c r="L195" s="19"/>
    </row>
    <row r="196" spans="1:12" ht="13.5" customHeight="1">
      <c r="A196" s="19"/>
      <c r="B196" s="19"/>
      <c r="C196" s="19"/>
      <c r="D196" s="19"/>
      <c r="E196" s="91"/>
      <c r="F196" s="91"/>
      <c r="G196" s="91"/>
      <c r="H196" s="91"/>
      <c r="I196" s="19"/>
      <c r="J196" s="19"/>
      <c r="K196" s="19"/>
      <c r="L196" s="19"/>
    </row>
    <row r="197" spans="1:12" ht="13.5" customHeight="1">
      <c r="A197" s="19"/>
      <c r="B197" s="19"/>
      <c r="C197" s="19"/>
      <c r="D197" s="19"/>
      <c r="E197" s="91"/>
      <c r="F197" s="91"/>
      <c r="G197" s="91"/>
      <c r="H197" s="91"/>
      <c r="I197" s="19"/>
      <c r="J197" s="19"/>
      <c r="K197" s="19"/>
      <c r="L197" s="19"/>
    </row>
    <row r="198" spans="1:12" ht="13.5" customHeight="1">
      <c r="A198" s="19"/>
      <c r="B198" s="19"/>
      <c r="C198" s="19"/>
      <c r="D198" s="19"/>
      <c r="E198" s="91"/>
      <c r="F198" s="91"/>
      <c r="G198" s="91"/>
      <c r="H198" s="91"/>
      <c r="I198" s="19"/>
      <c r="J198" s="19"/>
      <c r="K198" s="19"/>
      <c r="L198" s="19"/>
    </row>
    <row r="199" spans="1:12" ht="13.5" customHeight="1">
      <c r="A199" s="19"/>
      <c r="B199" s="19"/>
      <c r="C199" s="19"/>
      <c r="D199" s="19"/>
      <c r="E199" s="91"/>
      <c r="F199" s="91"/>
      <c r="G199" s="91"/>
      <c r="H199" s="91"/>
      <c r="I199" s="19"/>
      <c r="J199" s="19"/>
      <c r="K199" s="19"/>
      <c r="L199" s="19"/>
    </row>
    <row r="200" spans="1:12" ht="13.5" customHeight="1">
      <c r="A200" s="19"/>
      <c r="B200" s="19"/>
      <c r="C200" s="19"/>
      <c r="D200" s="19"/>
      <c r="E200" s="91"/>
      <c r="F200" s="91"/>
      <c r="G200" s="91"/>
      <c r="H200" s="91"/>
      <c r="I200" s="19"/>
      <c r="J200" s="19"/>
      <c r="K200" s="19"/>
      <c r="L200" s="19"/>
    </row>
    <row r="201" spans="1:12" ht="13.5" customHeight="1">
      <c r="A201" s="19"/>
      <c r="B201" s="19"/>
      <c r="C201" s="19"/>
      <c r="D201" s="19"/>
      <c r="E201" s="91"/>
      <c r="F201" s="91"/>
      <c r="G201" s="91"/>
      <c r="H201" s="91"/>
      <c r="I201" s="19"/>
      <c r="J201" s="19"/>
      <c r="K201" s="19"/>
      <c r="L201" s="19"/>
    </row>
    <row r="202" spans="1:12" ht="13.5" customHeight="1">
      <c r="A202" s="19"/>
      <c r="B202" s="19"/>
      <c r="C202" s="19"/>
      <c r="D202" s="19"/>
      <c r="E202" s="91"/>
      <c r="F202" s="91"/>
      <c r="G202" s="91"/>
      <c r="H202" s="91"/>
      <c r="I202" s="19"/>
      <c r="J202" s="19"/>
      <c r="K202" s="19"/>
      <c r="L202" s="19"/>
    </row>
    <row r="203" spans="1:12" ht="13.5" customHeight="1">
      <c r="A203" s="19"/>
      <c r="B203" s="19"/>
      <c r="C203" s="19"/>
      <c r="D203" s="19"/>
      <c r="E203" s="91"/>
      <c r="F203" s="91"/>
      <c r="G203" s="91"/>
      <c r="H203" s="91"/>
      <c r="I203" s="19"/>
      <c r="J203" s="19"/>
      <c r="K203" s="19"/>
      <c r="L203" s="19"/>
    </row>
    <row r="204" spans="1:12" ht="13.5" customHeight="1">
      <c r="A204" s="19"/>
      <c r="B204" s="19"/>
      <c r="C204" s="19"/>
      <c r="D204" s="19"/>
      <c r="E204" s="91"/>
      <c r="F204" s="91"/>
      <c r="G204" s="91"/>
      <c r="H204" s="91"/>
      <c r="I204" s="19"/>
      <c r="J204" s="19"/>
      <c r="K204" s="19"/>
      <c r="L204" s="19"/>
    </row>
    <row r="205" spans="1:12" ht="13.5" customHeight="1">
      <c r="A205" s="19"/>
      <c r="B205" s="19"/>
      <c r="C205" s="19"/>
      <c r="D205" s="19"/>
      <c r="E205" s="91"/>
      <c r="F205" s="91"/>
      <c r="G205" s="91"/>
      <c r="H205" s="91"/>
      <c r="I205" s="19"/>
      <c r="J205" s="19"/>
      <c r="K205" s="19"/>
      <c r="L205" s="19"/>
    </row>
    <row r="206" spans="1:12" ht="13.5" customHeight="1">
      <c r="A206" s="19"/>
      <c r="B206" s="19"/>
      <c r="C206" s="19"/>
      <c r="D206" s="19"/>
      <c r="E206" s="91"/>
      <c r="F206" s="91"/>
      <c r="G206" s="91"/>
      <c r="H206" s="91"/>
      <c r="I206" s="19"/>
      <c r="J206" s="19"/>
      <c r="K206" s="19"/>
      <c r="L206" s="19"/>
    </row>
    <row r="207" spans="1:12" ht="13.5" customHeight="1">
      <c r="A207" s="19"/>
      <c r="B207" s="19"/>
      <c r="C207" s="19"/>
      <c r="D207" s="19"/>
      <c r="E207" s="91"/>
      <c r="F207" s="91"/>
      <c r="G207" s="91"/>
      <c r="H207" s="91"/>
      <c r="I207" s="19"/>
      <c r="J207" s="19"/>
      <c r="K207" s="19"/>
      <c r="L207" s="19"/>
    </row>
    <row r="208" spans="1:12" ht="13.5" customHeight="1">
      <c r="A208" s="19"/>
      <c r="B208" s="19"/>
      <c r="C208" s="19"/>
      <c r="D208" s="19"/>
      <c r="E208" s="91"/>
      <c r="F208" s="91"/>
      <c r="G208" s="91"/>
      <c r="H208" s="91"/>
      <c r="I208" s="19"/>
      <c r="J208" s="19"/>
      <c r="K208" s="19"/>
      <c r="L208" s="19"/>
    </row>
    <row r="209" spans="1:12" ht="13.5" customHeight="1">
      <c r="A209" s="19"/>
      <c r="B209" s="19"/>
      <c r="C209" s="19"/>
      <c r="D209" s="19"/>
      <c r="E209" s="91"/>
      <c r="F209" s="91"/>
      <c r="G209" s="91"/>
      <c r="H209" s="91"/>
      <c r="I209" s="19"/>
      <c r="J209" s="19"/>
      <c r="K209" s="19"/>
      <c r="L209" s="19"/>
    </row>
    <row r="210" spans="1:12" ht="13.5" customHeight="1">
      <c r="A210" s="19"/>
      <c r="B210" s="19"/>
      <c r="C210" s="19"/>
      <c r="D210" s="19"/>
      <c r="E210" s="91"/>
      <c r="F210" s="91"/>
      <c r="G210" s="91"/>
      <c r="H210" s="91"/>
      <c r="I210" s="19"/>
      <c r="J210" s="19"/>
      <c r="K210" s="19"/>
      <c r="L210" s="19"/>
    </row>
    <row r="211" spans="1:12" ht="13.5" customHeight="1">
      <c r="A211" s="19"/>
      <c r="B211" s="19"/>
      <c r="C211" s="19"/>
      <c r="D211" s="19"/>
      <c r="E211" s="91"/>
      <c r="F211" s="91"/>
      <c r="G211" s="91"/>
      <c r="H211" s="91"/>
      <c r="I211" s="19"/>
      <c r="J211" s="19"/>
      <c r="K211" s="19"/>
      <c r="L211" s="19"/>
    </row>
    <row r="212" spans="1:12" ht="13.5" customHeight="1">
      <c r="A212" s="19"/>
      <c r="B212" s="19"/>
      <c r="C212" s="19"/>
      <c r="D212" s="19"/>
      <c r="E212" s="91"/>
      <c r="F212" s="91"/>
      <c r="G212" s="91"/>
      <c r="H212" s="91"/>
      <c r="I212" s="19"/>
      <c r="J212" s="19"/>
      <c r="K212" s="19"/>
      <c r="L212" s="19"/>
    </row>
    <row r="213" spans="1:12" ht="13.5" customHeight="1">
      <c r="A213" s="19"/>
      <c r="B213" s="19"/>
      <c r="C213" s="19"/>
      <c r="D213" s="19"/>
      <c r="E213" s="91"/>
      <c r="F213" s="91"/>
      <c r="G213" s="91"/>
      <c r="H213" s="91"/>
      <c r="I213" s="19"/>
      <c r="J213" s="19"/>
      <c r="K213" s="19"/>
      <c r="L213" s="19"/>
    </row>
    <row r="214" spans="1:12" ht="13.5" customHeight="1">
      <c r="A214" s="19"/>
      <c r="B214" s="19"/>
      <c r="C214" s="19"/>
      <c r="D214" s="19"/>
      <c r="E214" s="91"/>
      <c r="F214" s="91"/>
      <c r="G214" s="91"/>
      <c r="H214" s="91"/>
      <c r="I214" s="19"/>
      <c r="J214" s="19"/>
      <c r="K214" s="19"/>
      <c r="L214" s="19"/>
    </row>
    <row r="215" spans="1:12" ht="13.5" customHeight="1">
      <c r="A215" s="19"/>
      <c r="B215" s="19"/>
      <c r="C215" s="19"/>
      <c r="D215" s="19"/>
      <c r="E215" s="91"/>
      <c r="F215" s="91"/>
      <c r="G215" s="91"/>
      <c r="H215" s="91"/>
      <c r="I215" s="19"/>
      <c r="J215" s="19"/>
      <c r="K215" s="19"/>
      <c r="L215" s="19"/>
    </row>
    <row r="216" spans="1:12" ht="13.5" customHeight="1">
      <c r="A216" s="19"/>
      <c r="B216" s="19"/>
      <c r="C216" s="19"/>
      <c r="D216" s="19"/>
      <c r="E216" s="91"/>
      <c r="F216" s="91"/>
      <c r="G216" s="91"/>
      <c r="H216" s="91"/>
      <c r="I216" s="19"/>
      <c r="J216" s="19"/>
      <c r="K216" s="19"/>
      <c r="L216" s="19"/>
    </row>
  </sheetData>
  <pageMargins left="0.7" right="0.7" top="0.75" bottom="0.75" header="0.3" footer="0.3"/>
  <pageSetup orientation="portrait"/>
  <headerFooter>
    <oddFooter>&amp;C&amp;"Helvetica Neue,Regular"&amp;12&amp;K000000&amp;P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6"/>
  <sheetViews>
    <sheetView showGridLines="0" workbookViewId="0"/>
  </sheetViews>
  <sheetFormatPr baseColWidth="10" defaultColWidth="8.83203125" defaultRowHeight="14.5" customHeight="1"/>
  <cols>
    <col min="1" max="1" width="6.1640625" style="4" customWidth="1"/>
    <col min="2" max="2" width="14.33203125" style="4" customWidth="1"/>
    <col min="3" max="3" width="10.83203125" style="4" customWidth="1"/>
    <col min="4" max="4" width="8.83203125" style="4" hidden="1" customWidth="1"/>
    <col min="5" max="5" width="25.5" style="4" customWidth="1"/>
    <col min="6" max="7" width="8.83203125" style="4" customWidth="1"/>
    <col min="8" max="16384" width="8.83203125" style="4"/>
  </cols>
  <sheetData>
    <row r="1" spans="1:6" ht="26.5" customHeight="1">
      <c r="A1" s="344" t="s">
        <v>754</v>
      </c>
      <c r="B1" s="344" t="s">
        <v>755</v>
      </c>
      <c r="C1" s="345" t="s">
        <v>756</v>
      </c>
      <c r="D1" s="345" t="s">
        <v>757</v>
      </c>
      <c r="E1" s="345" t="s">
        <v>758</v>
      </c>
      <c r="F1" s="176"/>
    </row>
    <row r="2" spans="1:6" ht="13.75" customHeight="1">
      <c r="A2" s="346">
        <v>1</v>
      </c>
      <c r="B2" s="306" t="s">
        <v>759</v>
      </c>
      <c r="C2" s="347">
        <v>121.2744</v>
      </c>
      <c r="D2" s="305" t="s">
        <v>760</v>
      </c>
      <c r="E2" s="348" t="s">
        <v>761</v>
      </c>
      <c r="F2" s="176"/>
    </row>
    <row r="3" spans="1:6" ht="13.75" customHeight="1">
      <c r="A3" s="346">
        <f t="shared" ref="A3:A37" si="0">A2+1</f>
        <v>2</v>
      </c>
      <c r="B3" s="306" t="s">
        <v>762</v>
      </c>
      <c r="C3" s="347">
        <v>121.2744</v>
      </c>
      <c r="D3" s="305" t="s">
        <v>760</v>
      </c>
      <c r="E3" s="348" t="s">
        <v>761</v>
      </c>
      <c r="F3" s="176"/>
    </row>
    <row r="4" spans="1:6" ht="13.75" customHeight="1">
      <c r="A4" s="346">
        <f t="shared" si="0"/>
        <v>3</v>
      </c>
      <c r="B4" s="306" t="s">
        <v>763</v>
      </c>
      <c r="C4" s="347">
        <v>121.2744</v>
      </c>
      <c r="D4" s="305" t="s">
        <v>760</v>
      </c>
      <c r="E4" s="348" t="s">
        <v>761</v>
      </c>
      <c r="F4" s="176"/>
    </row>
    <row r="5" spans="1:6" ht="13.75" customHeight="1">
      <c r="A5" s="346">
        <f t="shared" si="0"/>
        <v>4</v>
      </c>
      <c r="B5" s="306" t="s">
        <v>764</v>
      </c>
      <c r="C5" s="347">
        <v>121.2744</v>
      </c>
      <c r="D5" s="305" t="s">
        <v>760</v>
      </c>
      <c r="E5" s="348" t="s">
        <v>761</v>
      </c>
      <c r="F5" s="176"/>
    </row>
    <row r="6" spans="1:6" ht="13.75" customHeight="1">
      <c r="A6" s="346">
        <f t="shared" si="0"/>
        <v>5</v>
      </c>
      <c r="B6" s="306" t="s">
        <v>765</v>
      </c>
      <c r="C6" s="347">
        <v>121.2744</v>
      </c>
      <c r="D6" s="305" t="s">
        <v>760</v>
      </c>
      <c r="E6" s="348" t="s">
        <v>761</v>
      </c>
      <c r="F6" s="176"/>
    </row>
    <row r="7" spans="1:6" ht="13.75" customHeight="1">
      <c r="A7" s="346">
        <f t="shared" si="0"/>
        <v>6</v>
      </c>
      <c r="B7" s="306" t="s">
        <v>766</v>
      </c>
      <c r="C7" s="347">
        <v>121.2744</v>
      </c>
      <c r="D7" s="305" t="s">
        <v>760</v>
      </c>
      <c r="E7" s="348" t="s">
        <v>761</v>
      </c>
      <c r="F7" s="176"/>
    </row>
    <row r="8" spans="1:6" ht="13.75" customHeight="1">
      <c r="A8" s="346">
        <f t="shared" si="0"/>
        <v>7</v>
      </c>
      <c r="B8" s="306" t="s">
        <v>767</v>
      </c>
      <c r="C8" s="347">
        <v>121.2744</v>
      </c>
      <c r="D8" s="305" t="s">
        <v>760</v>
      </c>
      <c r="E8" s="348" t="s">
        <v>761</v>
      </c>
      <c r="F8" s="176"/>
    </row>
    <row r="9" spans="1:6" ht="13.75" customHeight="1">
      <c r="A9" s="346">
        <f t="shared" si="0"/>
        <v>8</v>
      </c>
      <c r="B9" s="306" t="s">
        <v>768</v>
      </c>
      <c r="C9" s="347">
        <v>121.2744</v>
      </c>
      <c r="D9" s="305" t="s">
        <v>760</v>
      </c>
      <c r="E9" s="348" t="s">
        <v>761</v>
      </c>
      <c r="F9" s="176"/>
    </row>
    <row r="10" spans="1:6" ht="13.75" customHeight="1">
      <c r="A10" s="346">
        <f t="shared" si="0"/>
        <v>9</v>
      </c>
      <c r="B10" s="306" t="s">
        <v>769</v>
      </c>
      <c r="C10" s="347">
        <v>121.2744</v>
      </c>
      <c r="D10" s="305" t="s">
        <v>760</v>
      </c>
      <c r="E10" s="348" t="s">
        <v>761</v>
      </c>
      <c r="F10" s="176"/>
    </row>
    <row r="11" spans="1:6" ht="13.75" customHeight="1">
      <c r="A11" s="346">
        <f t="shared" si="0"/>
        <v>10</v>
      </c>
      <c r="B11" s="306" t="s">
        <v>770</v>
      </c>
      <c r="C11" s="347">
        <v>121.2744</v>
      </c>
      <c r="D11" s="305" t="s">
        <v>760</v>
      </c>
      <c r="E11" s="348" t="s">
        <v>761</v>
      </c>
      <c r="F11" s="176"/>
    </row>
    <row r="12" spans="1:6" ht="13.75" customHeight="1">
      <c r="A12" s="346">
        <f t="shared" si="0"/>
        <v>11</v>
      </c>
      <c r="B12" s="306" t="s">
        <v>771</v>
      </c>
      <c r="C12" s="347">
        <v>121.2744</v>
      </c>
      <c r="D12" s="305" t="s">
        <v>760</v>
      </c>
      <c r="E12" s="348" t="s">
        <v>761</v>
      </c>
      <c r="F12" s="176"/>
    </row>
    <row r="13" spans="1:6" ht="13.75" customHeight="1">
      <c r="A13" s="346">
        <f t="shared" si="0"/>
        <v>12</v>
      </c>
      <c r="B13" s="306" t="s">
        <v>772</v>
      </c>
      <c r="C13" s="347">
        <v>121.2744</v>
      </c>
      <c r="D13" s="305" t="s">
        <v>760</v>
      </c>
      <c r="E13" s="348" t="s">
        <v>761</v>
      </c>
      <c r="F13" s="176"/>
    </row>
    <row r="14" spans="1:6" ht="13.75" customHeight="1">
      <c r="A14" s="346">
        <f t="shared" si="0"/>
        <v>13</v>
      </c>
      <c r="B14" s="306" t="s">
        <v>773</v>
      </c>
      <c r="C14" s="347">
        <v>121.2744</v>
      </c>
      <c r="D14" s="305" t="s">
        <v>760</v>
      </c>
      <c r="E14" s="348" t="s">
        <v>761</v>
      </c>
      <c r="F14" s="176"/>
    </row>
    <row r="15" spans="1:6" ht="13.75" customHeight="1">
      <c r="A15" s="346">
        <f t="shared" si="0"/>
        <v>14</v>
      </c>
      <c r="B15" s="306" t="s">
        <v>774</v>
      </c>
      <c r="C15" s="347">
        <v>133.159052</v>
      </c>
      <c r="D15" s="305" t="s">
        <v>760</v>
      </c>
      <c r="E15" s="348" t="s">
        <v>761</v>
      </c>
      <c r="F15" s="176"/>
    </row>
    <row r="16" spans="1:6" ht="13.75" customHeight="1">
      <c r="A16" s="346">
        <f t="shared" si="0"/>
        <v>15</v>
      </c>
      <c r="B16" s="306" t="s">
        <v>775</v>
      </c>
      <c r="C16" s="347">
        <v>133.159052</v>
      </c>
      <c r="D16" s="305" t="s">
        <v>760</v>
      </c>
      <c r="E16" s="348" t="s">
        <v>761</v>
      </c>
      <c r="F16" s="176"/>
    </row>
    <row r="17" spans="1:6" ht="13.75" customHeight="1">
      <c r="A17" s="346">
        <f t="shared" si="0"/>
        <v>16</v>
      </c>
      <c r="B17" s="306" t="s">
        <v>776</v>
      </c>
      <c r="C17" s="347">
        <v>133.159052</v>
      </c>
      <c r="D17" s="305" t="s">
        <v>760</v>
      </c>
      <c r="E17" s="348" t="s">
        <v>761</v>
      </c>
      <c r="F17" s="176"/>
    </row>
    <row r="18" spans="1:6" ht="13.75" customHeight="1">
      <c r="A18" s="346">
        <f t="shared" si="0"/>
        <v>17</v>
      </c>
      <c r="B18" s="306" t="s">
        <v>777</v>
      </c>
      <c r="C18" s="347">
        <v>133.159052</v>
      </c>
      <c r="D18" s="305" t="s">
        <v>760</v>
      </c>
      <c r="E18" s="348" t="s">
        <v>761</v>
      </c>
      <c r="F18" s="176"/>
    </row>
    <row r="19" spans="1:6" ht="13.75" customHeight="1">
      <c r="A19" s="346">
        <f t="shared" si="0"/>
        <v>18</v>
      </c>
      <c r="B19" s="306" t="s">
        <v>778</v>
      </c>
      <c r="C19" s="347">
        <v>133.159052</v>
      </c>
      <c r="D19" s="305" t="s">
        <v>760</v>
      </c>
      <c r="E19" s="348" t="s">
        <v>761</v>
      </c>
      <c r="F19" s="176"/>
    </row>
    <row r="20" spans="1:6" ht="13.75" customHeight="1">
      <c r="A20" s="346">
        <f t="shared" si="0"/>
        <v>19</v>
      </c>
      <c r="B20" s="306" t="s">
        <v>779</v>
      </c>
      <c r="C20" s="347">
        <v>121.2744</v>
      </c>
      <c r="D20" s="305" t="s">
        <v>780</v>
      </c>
      <c r="E20" s="348" t="s">
        <v>761</v>
      </c>
      <c r="F20" s="176"/>
    </row>
    <row r="21" spans="1:6" ht="13.75" customHeight="1">
      <c r="A21" s="346">
        <f t="shared" si="0"/>
        <v>20</v>
      </c>
      <c r="B21" s="306" t="s">
        <v>781</v>
      </c>
      <c r="C21" s="347">
        <v>121.2744</v>
      </c>
      <c r="D21" s="305" t="s">
        <v>780</v>
      </c>
      <c r="E21" s="348" t="s">
        <v>761</v>
      </c>
      <c r="F21" s="176"/>
    </row>
    <row r="22" spans="1:6" ht="13.75" customHeight="1">
      <c r="A22" s="346">
        <f t="shared" si="0"/>
        <v>21</v>
      </c>
      <c r="B22" s="306" t="s">
        <v>782</v>
      </c>
      <c r="C22" s="347">
        <v>121.2744</v>
      </c>
      <c r="D22" s="305" t="s">
        <v>760</v>
      </c>
      <c r="E22" s="348" t="s">
        <v>761</v>
      </c>
      <c r="F22" s="176"/>
    </row>
    <row r="23" spans="1:6" ht="13.75" customHeight="1">
      <c r="A23" s="346">
        <f t="shared" si="0"/>
        <v>22</v>
      </c>
      <c r="B23" s="306" t="s">
        <v>783</v>
      </c>
      <c r="C23" s="347">
        <v>121.2744</v>
      </c>
      <c r="D23" s="305" t="s">
        <v>760</v>
      </c>
      <c r="E23" s="348" t="s">
        <v>761</v>
      </c>
      <c r="F23" s="176"/>
    </row>
    <row r="24" spans="1:6" ht="13.75" customHeight="1">
      <c r="A24" s="346">
        <f t="shared" si="0"/>
        <v>23</v>
      </c>
      <c r="B24" s="306" t="s">
        <v>784</v>
      </c>
      <c r="C24" s="347">
        <v>121.2744</v>
      </c>
      <c r="D24" s="305" t="s">
        <v>760</v>
      </c>
      <c r="E24" s="348" t="s">
        <v>761</v>
      </c>
      <c r="F24" s="176"/>
    </row>
    <row r="25" spans="1:6" ht="13.75" customHeight="1">
      <c r="A25" s="346">
        <f t="shared" si="0"/>
        <v>24</v>
      </c>
      <c r="B25" s="306" t="s">
        <v>785</v>
      </c>
      <c r="C25" s="347">
        <v>121.2744</v>
      </c>
      <c r="D25" s="305" t="s">
        <v>760</v>
      </c>
      <c r="E25" s="348" t="s">
        <v>761</v>
      </c>
      <c r="F25" s="176"/>
    </row>
    <row r="26" spans="1:6" ht="13.75" customHeight="1">
      <c r="A26" s="346">
        <f t="shared" si="0"/>
        <v>25</v>
      </c>
      <c r="B26" s="306" t="s">
        <v>786</v>
      </c>
      <c r="C26" s="347">
        <v>121.2744</v>
      </c>
      <c r="D26" s="305" t="s">
        <v>760</v>
      </c>
      <c r="E26" s="348" t="s">
        <v>761</v>
      </c>
      <c r="F26" s="176"/>
    </row>
    <row r="27" spans="1:6" ht="13.75" customHeight="1">
      <c r="A27" s="346">
        <f t="shared" si="0"/>
        <v>26</v>
      </c>
      <c r="B27" s="306" t="s">
        <v>787</v>
      </c>
      <c r="C27" s="347">
        <v>121.2744</v>
      </c>
      <c r="D27" s="305" t="s">
        <v>760</v>
      </c>
      <c r="E27" s="348" t="s">
        <v>788</v>
      </c>
      <c r="F27" s="176"/>
    </row>
    <row r="28" spans="1:6" ht="13.75" customHeight="1">
      <c r="A28" s="346">
        <f t="shared" si="0"/>
        <v>27</v>
      </c>
      <c r="B28" s="306" t="s">
        <v>789</v>
      </c>
      <c r="C28" s="347">
        <v>121.2744</v>
      </c>
      <c r="D28" s="305" t="s">
        <v>760</v>
      </c>
      <c r="E28" s="348" t="s">
        <v>788</v>
      </c>
      <c r="F28" s="176"/>
    </row>
    <row r="29" spans="1:6" ht="13.75" customHeight="1">
      <c r="A29" s="346">
        <f t="shared" si="0"/>
        <v>28</v>
      </c>
      <c r="B29" s="306" t="s">
        <v>790</v>
      </c>
      <c r="C29" s="347">
        <v>121.2744</v>
      </c>
      <c r="D29" s="305" t="s">
        <v>760</v>
      </c>
      <c r="E29" s="348" t="s">
        <v>788</v>
      </c>
      <c r="F29" s="176"/>
    </row>
    <row r="30" spans="1:6" ht="13.75" customHeight="1">
      <c r="A30" s="346">
        <f t="shared" si="0"/>
        <v>29</v>
      </c>
      <c r="B30" s="306" t="s">
        <v>791</v>
      </c>
      <c r="C30" s="347">
        <v>121.2744</v>
      </c>
      <c r="D30" s="305" t="s">
        <v>760</v>
      </c>
      <c r="E30" s="348" t="s">
        <v>788</v>
      </c>
      <c r="F30" s="176"/>
    </row>
    <row r="31" spans="1:6" ht="13.75" customHeight="1">
      <c r="A31" s="346">
        <f t="shared" si="0"/>
        <v>30</v>
      </c>
      <c r="B31" s="306" t="s">
        <v>792</v>
      </c>
      <c r="C31" s="347">
        <v>121.2744</v>
      </c>
      <c r="D31" s="305" t="s">
        <v>760</v>
      </c>
      <c r="E31" s="348" t="s">
        <v>788</v>
      </c>
      <c r="F31" s="176"/>
    </row>
    <row r="32" spans="1:6" ht="13.75" customHeight="1">
      <c r="A32" s="346">
        <f t="shared" si="0"/>
        <v>31</v>
      </c>
      <c r="B32" s="306" t="s">
        <v>793</v>
      </c>
      <c r="C32" s="347">
        <v>121.2744</v>
      </c>
      <c r="D32" s="305" t="s">
        <v>760</v>
      </c>
      <c r="E32" s="348" t="s">
        <v>788</v>
      </c>
      <c r="F32" s="176"/>
    </row>
    <row r="33" spans="1:6" ht="13.75" customHeight="1">
      <c r="A33" s="346">
        <f t="shared" si="0"/>
        <v>32</v>
      </c>
      <c r="B33" s="306" t="s">
        <v>794</v>
      </c>
      <c r="C33" s="347">
        <v>121.2744</v>
      </c>
      <c r="D33" s="305" t="s">
        <v>760</v>
      </c>
      <c r="E33" s="348" t="s">
        <v>788</v>
      </c>
      <c r="F33" s="176"/>
    </row>
    <row r="34" spans="1:6" ht="13.75" customHeight="1">
      <c r="A34" s="346">
        <f t="shared" si="0"/>
        <v>33</v>
      </c>
      <c r="B34" s="306" t="s">
        <v>795</v>
      </c>
      <c r="C34" s="347">
        <v>121.2744</v>
      </c>
      <c r="D34" s="305" t="s">
        <v>760</v>
      </c>
      <c r="E34" s="348" t="s">
        <v>788</v>
      </c>
      <c r="F34" s="176"/>
    </row>
    <row r="35" spans="1:6" ht="13.75" customHeight="1">
      <c r="A35" s="346">
        <f t="shared" si="0"/>
        <v>34</v>
      </c>
      <c r="B35" s="306" t="s">
        <v>796</v>
      </c>
      <c r="C35" s="347">
        <v>121.2744</v>
      </c>
      <c r="D35" s="305" t="s">
        <v>760</v>
      </c>
      <c r="E35" s="348" t="s">
        <v>788</v>
      </c>
      <c r="F35" s="176"/>
    </row>
    <row r="36" spans="1:6" ht="13.75" customHeight="1">
      <c r="A36" s="346">
        <f t="shared" si="0"/>
        <v>35</v>
      </c>
      <c r="B36" s="306" t="s">
        <v>797</v>
      </c>
      <c r="C36" s="347">
        <v>121.2744</v>
      </c>
      <c r="D36" s="305" t="s">
        <v>760</v>
      </c>
      <c r="E36" s="348" t="s">
        <v>788</v>
      </c>
      <c r="F36" s="176"/>
    </row>
    <row r="37" spans="1:6" ht="15" customHeight="1">
      <c r="A37" s="349">
        <f t="shared" si="0"/>
        <v>36</v>
      </c>
      <c r="B37" s="350" t="s">
        <v>798</v>
      </c>
      <c r="C37" s="351">
        <v>121.2744</v>
      </c>
      <c r="D37" s="352" t="s">
        <v>760</v>
      </c>
      <c r="E37" s="353" t="s">
        <v>788</v>
      </c>
      <c r="F37" s="176"/>
    </row>
    <row r="38" spans="1:6" ht="15" customHeight="1">
      <c r="A38" s="435" t="s">
        <v>82</v>
      </c>
      <c r="B38" s="436"/>
      <c r="C38" s="354">
        <f>SUM(C2:C37)</f>
        <v>4425.3016599999974</v>
      </c>
      <c r="D38" s="355"/>
      <c r="E38" s="356"/>
      <c r="F38" s="357"/>
    </row>
    <row r="39" spans="1:6" ht="14" customHeight="1">
      <c r="A39" s="358"/>
      <c r="B39" s="358"/>
      <c r="C39" s="359"/>
      <c r="D39" s="358"/>
      <c r="E39" s="358"/>
      <c r="F39" s="19"/>
    </row>
    <row r="40" spans="1:6" ht="15" customHeight="1">
      <c r="A40" s="360"/>
      <c r="B40" s="360"/>
      <c r="C40" s="361"/>
      <c r="D40" s="360"/>
      <c r="E40" s="360"/>
      <c r="F40" s="19"/>
    </row>
    <row r="41" spans="1:6" ht="26.5" customHeight="1">
      <c r="A41" s="344" t="s">
        <v>754</v>
      </c>
      <c r="B41" s="344" t="s">
        <v>755</v>
      </c>
      <c r="C41" s="345" t="s">
        <v>756</v>
      </c>
      <c r="D41" s="345" t="s">
        <v>757</v>
      </c>
      <c r="E41" s="345" t="s">
        <v>799</v>
      </c>
      <c r="F41" s="176"/>
    </row>
    <row r="42" spans="1:6" ht="13.75" customHeight="1">
      <c r="A42" s="346">
        <v>1</v>
      </c>
      <c r="B42" s="306" t="s">
        <v>800</v>
      </c>
      <c r="C42" s="347">
        <v>80</v>
      </c>
      <c r="D42" s="305" t="s">
        <v>760</v>
      </c>
      <c r="E42" s="348" t="s">
        <v>801</v>
      </c>
      <c r="F42" s="176"/>
    </row>
    <row r="43" spans="1:6" ht="13.75" customHeight="1">
      <c r="A43" s="346">
        <f t="shared" ref="A43:A65" si="1">A42+1</f>
        <v>2</v>
      </c>
      <c r="B43" s="306" t="s">
        <v>802</v>
      </c>
      <c r="C43" s="347">
        <v>80</v>
      </c>
      <c r="D43" s="305" t="s">
        <v>760</v>
      </c>
      <c r="E43" s="348" t="s">
        <v>801</v>
      </c>
      <c r="F43" s="176"/>
    </row>
    <row r="44" spans="1:6" ht="13.75" customHeight="1">
      <c r="A44" s="346">
        <f t="shared" si="1"/>
        <v>3</v>
      </c>
      <c r="B44" s="306" t="s">
        <v>803</v>
      </c>
      <c r="C44" s="347">
        <v>80</v>
      </c>
      <c r="D44" s="305" t="s">
        <v>760</v>
      </c>
      <c r="E44" s="348" t="s">
        <v>801</v>
      </c>
      <c r="F44" s="176"/>
    </row>
    <row r="45" spans="1:6" ht="13.75" customHeight="1">
      <c r="A45" s="346">
        <f t="shared" si="1"/>
        <v>4</v>
      </c>
      <c r="B45" s="306" t="s">
        <v>804</v>
      </c>
      <c r="C45" s="347">
        <v>80</v>
      </c>
      <c r="D45" s="305" t="s">
        <v>760</v>
      </c>
      <c r="E45" s="348" t="s">
        <v>801</v>
      </c>
      <c r="F45" s="176"/>
    </row>
    <row r="46" spans="1:6" ht="13.75" customHeight="1">
      <c r="A46" s="346">
        <f t="shared" si="1"/>
        <v>5</v>
      </c>
      <c r="B46" s="306" t="s">
        <v>805</v>
      </c>
      <c r="C46" s="347">
        <v>80</v>
      </c>
      <c r="D46" s="305" t="s">
        <v>760</v>
      </c>
      <c r="E46" s="348" t="s">
        <v>801</v>
      </c>
      <c r="F46" s="176"/>
    </row>
    <row r="47" spans="1:6" ht="13.75" customHeight="1">
      <c r="A47" s="346">
        <f t="shared" si="1"/>
        <v>6</v>
      </c>
      <c r="B47" s="306" t="s">
        <v>806</v>
      </c>
      <c r="C47" s="347">
        <v>80</v>
      </c>
      <c r="D47" s="305" t="s">
        <v>760</v>
      </c>
      <c r="E47" s="348" t="s">
        <v>801</v>
      </c>
      <c r="F47" s="176"/>
    </row>
    <row r="48" spans="1:6" ht="13.75" customHeight="1">
      <c r="A48" s="346">
        <f t="shared" si="1"/>
        <v>7</v>
      </c>
      <c r="B48" s="306" t="s">
        <v>807</v>
      </c>
      <c r="C48" s="347">
        <v>80</v>
      </c>
      <c r="D48" s="305" t="s">
        <v>760</v>
      </c>
      <c r="E48" s="348" t="s">
        <v>801</v>
      </c>
      <c r="F48" s="176"/>
    </row>
    <row r="49" spans="1:6" ht="13.75" customHeight="1">
      <c r="A49" s="346">
        <f t="shared" si="1"/>
        <v>8</v>
      </c>
      <c r="B49" s="306" t="s">
        <v>808</v>
      </c>
      <c r="C49" s="347">
        <v>80</v>
      </c>
      <c r="D49" s="305" t="s">
        <v>760</v>
      </c>
      <c r="E49" s="348" t="s">
        <v>801</v>
      </c>
      <c r="F49" s="176"/>
    </row>
    <row r="50" spans="1:6" ht="13.75" customHeight="1">
      <c r="A50" s="346">
        <f t="shared" si="1"/>
        <v>9</v>
      </c>
      <c r="B50" s="306" t="s">
        <v>809</v>
      </c>
      <c r="C50" s="347">
        <v>80</v>
      </c>
      <c r="D50" s="305" t="s">
        <v>760</v>
      </c>
      <c r="E50" s="348" t="s">
        <v>801</v>
      </c>
      <c r="F50" s="176"/>
    </row>
    <row r="51" spans="1:6" ht="13.75" customHeight="1">
      <c r="A51" s="346">
        <f t="shared" si="1"/>
        <v>10</v>
      </c>
      <c r="B51" s="306" t="s">
        <v>810</v>
      </c>
      <c r="C51" s="347">
        <v>80</v>
      </c>
      <c r="D51" s="305" t="s">
        <v>760</v>
      </c>
      <c r="E51" s="348" t="s">
        <v>801</v>
      </c>
      <c r="F51" s="176"/>
    </row>
    <row r="52" spans="1:6" ht="13.75" customHeight="1">
      <c r="A52" s="346">
        <f t="shared" si="1"/>
        <v>11</v>
      </c>
      <c r="B52" s="306" t="s">
        <v>811</v>
      </c>
      <c r="C52" s="347">
        <v>80</v>
      </c>
      <c r="D52" s="305" t="s">
        <v>760</v>
      </c>
      <c r="E52" s="348" t="s">
        <v>801</v>
      </c>
      <c r="F52" s="176"/>
    </row>
    <row r="53" spans="1:6" ht="13.75" customHeight="1">
      <c r="A53" s="346">
        <f t="shared" si="1"/>
        <v>12</v>
      </c>
      <c r="B53" s="306" t="s">
        <v>812</v>
      </c>
      <c r="C53" s="347">
        <v>80</v>
      </c>
      <c r="D53" s="305" t="s">
        <v>760</v>
      </c>
      <c r="E53" s="348" t="s">
        <v>801</v>
      </c>
      <c r="F53" s="176"/>
    </row>
    <row r="54" spans="1:6" ht="13.75" customHeight="1">
      <c r="A54" s="346">
        <f t="shared" si="1"/>
        <v>13</v>
      </c>
      <c r="B54" s="306" t="s">
        <v>813</v>
      </c>
      <c r="C54" s="347">
        <v>80</v>
      </c>
      <c r="D54" s="305" t="s">
        <v>760</v>
      </c>
      <c r="E54" s="348" t="s">
        <v>801</v>
      </c>
      <c r="F54" s="176"/>
    </row>
    <row r="55" spans="1:6" ht="13.75" customHeight="1">
      <c r="A55" s="346">
        <f t="shared" si="1"/>
        <v>14</v>
      </c>
      <c r="B55" s="306" t="s">
        <v>814</v>
      </c>
      <c r="C55" s="347">
        <v>80</v>
      </c>
      <c r="D55" s="305" t="s">
        <v>760</v>
      </c>
      <c r="E55" s="348" t="s">
        <v>801</v>
      </c>
      <c r="F55" s="176"/>
    </row>
    <row r="56" spans="1:6" ht="13.75" customHeight="1">
      <c r="A56" s="346">
        <f t="shared" si="1"/>
        <v>15</v>
      </c>
      <c r="B56" s="306" t="s">
        <v>815</v>
      </c>
      <c r="C56" s="347">
        <v>80</v>
      </c>
      <c r="D56" s="305" t="s">
        <v>760</v>
      </c>
      <c r="E56" s="348" t="s">
        <v>801</v>
      </c>
      <c r="F56" s="176"/>
    </row>
    <row r="57" spans="1:6" ht="13.75" customHeight="1">
      <c r="A57" s="346">
        <f t="shared" si="1"/>
        <v>16</v>
      </c>
      <c r="B57" s="306" t="s">
        <v>816</v>
      </c>
      <c r="C57" s="347">
        <v>80</v>
      </c>
      <c r="D57" s="305" t="s">
        <v>760</v>
      </c>
      <c r="E57" s="348" t="s">
        <v>801</v>
      </c>
      <c r="F57" s="176"/>
    </row>
    <row r="58" spans="1:6" ht="13.75" customHeight="1">
      <c r="A58" s="346">
        <f t="shared" si="1"/>
        <v>17</v>
      </c>
      <c r="B58" s="306" t="s">
        <v>817</v>
      </c>
      <c r="C58" s="347">
        <v>80</v>
      </c>
      <c r="D58" s="305" t="s">
        <v>760</v>
      </c>
      <c r="E58" s="348" t="s">
        <v>801</v>
      </c>
      <c r="F58" s="176"/>
    </row>
    <row r="59" spans="1:6" ht="13.75" customHeight="1">
      <c r="A59" s="346">
        <f t="shared" si="1"/>
        <v>18</v>
      </c>
      <c r="B59" s="306" t="s">
        <v>818</v>
      </c>
      <c r="C59" s="347">
        <v>80</v>
      </c>
      <c r="D59" s="305" t="s">
        <v>760</v>
      </c>
      <c r="E59" s="348" t="s">
        <v>801</v>
      </c>
      <c r="F59" s="176"/>
    </row>
    <row r="60" spans="1:6" ht="13.75" customHeight="1">
      <c r="A60" s="346">
        <f t="shared" si="1"/>
        <v>19</v>
      </c>
      <c r="B60" s="306" t="s">
        <v>819</v>
      </c>
      <c r="C60" s="347">
        <v>80</v>
      </c>
      <c r="D60" s="305" t="s">
        <v>780</v>
      </c>
      <c r="E60" s="348" t="s">
        <v>801</v>
      </c>
      <c r="F60" s="176"/>
    </row>
    <row r="61" spans="1:6" ht="13.75" customHeight="1">
      <c r="A61" s="346">
        <f t="shared" si="1"/>
        <v>20</v>
      </c>
      <c r="B61" s="306" t="s">
        <v>820</v>
      </c>
      <c r="C61" s="347">
        <v>80</v>
      </c>
      <c r="D61" s="305" t="s">
        <v>780</v>
      </c>
      <c r="E61" s="348" t="s">
        <v>801</v>
      </c>
      <c r="F61" s="176"/>
    </row>
    <row r="62" spans="1:6" ht="13.75" customHeight="1">
      <c r="A62" s="346">
        <f t="shared" si="1"/>
        <v>21</v>
      </c>
      <c r="B62" s="306" t="s">
        <v>821</v>
      </c>
      <c r="C62" s="347">
        <v>80</v>
      </c>
      <c r="D62" s="305" t="s">
        <v>760</v>
      </c>
      <c r="E62" s="348" t="s">
        <v>801</v>
      </c>
      <c r="F62" s="176"/>
    </row>
    <row r="63" spans="1:6" ht="13.75" customHeight="1">
      <c r="A63" s="346">
        <f t="shared" si="1"/>
        <v>22</v>
      </c>
      <c r="B63" s="306" t="s">
        <v>822</v>
      </c>
      <c r="C63" s="347">
        <v>80</v>
      </c>
      <c r="D63" s="305" t="s">
        <v>760</v>
      </c>
      <c r="E63" s="348" t="s">
        <v>801</v>
      </c>
      <c r="F63" s="176"/>
    </row>
    <row r="64" spans="1:6" ht="13.75" customHeight="1">
      <c r="A64" s="346">
        <f t="shared" si="1"/>
        <v>23</v>
      </c>
      <c r="B64" s="306" t="s">
        <v>823</v>
      </c>
      <c r="C64" s="347">
        <v>80</v>
      </c>
      <c r="D64" s="305" t="s">
        <v>760</v>
      </c>
      <c r="E64" s="348" t="s">
        <v>801</v>
      </c>
      <c r="F64" s="176"/>
    </row>
    <row r="65" spans="1:6" ht="15" customHeight="1">
      <c r="A65" s="349">
        <f t="shared" si="1"/>
        <v>24</v>
      </c>
      <c r="B65" s="350" t="s">
        <v>824</v>
      </c>
      <c r="C65" s="351">
        <v>80</v>
      </c>
      <c r="D65" s="352" t="s">
        <v>760</v>
      </c>
      <c r="E65" s="353" t="s">
        <v>801</v>
      </c>
      <c r="F65" s="176"/>
    </row>
    <row r="66" spans="1:6" ht="15" customHeight="1">
      <c r="A66" s="435" t="s">
        <v>82</v>
      </c>
      <c r="B66" s="436"/>
      <c r="C66" s="354">
        <f>SUM(C42:C65)</f>
        <v>1920</v>
      </c>
      <c r="D66" s="355"/>
      <c r="E66" s="356"/>
      <c r="F66" s="357"/>
    </row>
  </sheetData>
  <mergeCells count="2">
    <mergeCell ref="A38:B38"/>
    <mergeCell ref="A66:B66"/>
  </mergeCells>
  <pageMargins left="0.7" right="0.7" top="0.75" bottom="0.75" header="0.3" footer="0.3"/>
  <pageSetup orientation="portrait"/>
  <headerFooter>
    <oddFooter>&amp;C&amp;"Helvetica Neue,Regular"&amp;12&amp;K000000&amp;P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3"/>
  <sheetViews>
    <sheetView showGridLines="0" workbookViewId="0"/>
  </sheetViews>
  <sheetFormatPr baseColWidth="10" defaultColWidth="13.33203125" defaultRowHeight="17.5" customHeight="1"/>
  <cols>
    <col min="1" max="6" width="13.33203125" style="4" customWidth="1"/>
    <col min="7" max="16384" width="13.33203125" style="4"/>
  </cols>
  <sheetData>
    <row r="1" spans="1:5" ht="12.25" customHeight="1">
      <c r="A1" s="431" t="s">
        <v>15</v>
      </c>
      <c r="B1" s="432"/>
      <c r="C1" s="432"/>
      <c r="D1" s="432"/>
      <c r="E1" s="433"/>
    </row>
    <row r="2" spans="1:5" ht="15.25" customHeight="1">
      <c r="A2" s="232" t="s">
        <v>406</v>
      </c>
      <c r="B2" s="189" t="s">
        <v>304</v>
      </c>
      <c r="C2" s="190" t="s">
        <v>312</v>
      </c>
      <c r="D2" s="190" t="s">
        <v>401</v>
      </c>
      <c r="E2" s="191" t="s">
        <v>323</v>
      </c>
    </row>
    <row r="3" spans="1:5" ht="15.25" customHeight="1">
      <c r="A3" s="362">
        <v>112.393</v>
      </c>
      <c r="B3" s="234">
        <v>1</v>
      </c>
      <c r="C3" s="235">
        <v>2736918</v>
      </c>
      <c r="D3" s="235">
        <v>5394864</v>
      </c>
      <c r="E3" s="236">
        <v>112.393</v>
      </c>
    </row>
    <row r="4" spans="1:5" ht="15" customHeight="1">
      <c r="A4" s="363">
        <v>120.13800000000001</v>
      </c>
      <c r="B4" s="238">
        <v>1</v>
      </c>
      <c r="C4" s="239">
        <v>1000000</v>
      </c>
      <c r="D4" s="239">
        <v>7064114</v>
      </c>
      <c r="E4" s="240">
        <v>120.13800000000001</v>
      </c>
    </row>
    <row r="5" spans="1:5" ht="15" customHeight="1">
      <c r="A5" s="363">
        <v>121.352</v>
      </c>
      <c r="B5" s="238">
        <v>40</v>
      </c>
      <c r="C5" s="239">
        <v>80262968.799999997</v>
      </c>
      <c r="D5" s="239">
        <v>250232363</v>
      </c>
      <c r="E5" s="240">
        <v>4854.08</v>
      </c>
    </row>
    <row r="6" spans="1:5" ht="15" customHeight="1">
      <c r="A6" s="363">
        <v>124.02200000000001</v>
      </c>
      <c r="B6" s="238">
        <v>11</v>
      </c>
      <c r="C6" s="239">
        <v>12850346</v>
      </c>
      <c r="D6" s="239">
        <v>63080442</v>
      </c>
      <c r="E6" s="240">
        <v>1364.242</v>
      </c>
    </row>
    <row r="7" spans="1:5" ht="15" customHeight="1">
      <c r="A7" s="363">
        <v>127.61799999999999</v>
      </c>
      <c r="B7" s="238">
        <v>9</v>
      </c>
      <c r="C7" s="239">
        <v>21616208</v>
      </c>
      <c r="D7" s="239">
        <v>51483908</v>
      </c>
      <c r="E7" s="240">
        <v>1148.5619999999999</v>
      </c>
    </row>
    <row r="8" spans="1:5" ht="15" customHeight="1">
      <c r="A8" s="363">
        <v>129.90199999999999</v>
      </c>
      <c r="B8" s="238">
        <v>5</v>
      </c>
      <c r="C8" s="239">
        <v>12128737</v>
      </c>
      <c r="D8" s="239">
        <v>34333099</v>
      </c>
      <c r="E8" s="240">
        <v>649.51</v>
      </c>
    </row>
    <row r="9" spans="1:5" ht="15" customHeight="1">
      <c r="A9" s="363">
        <v>138.398</v>
      </c>
      <c r="B9" s="238">
        <v>1</v>
      </c>
      <c r="C9" s="239">
        <v>3788000</v>
      </c>
      <c r="D9" s="239">
        <v>7575353</v>
      </c>
      <c r="E9" s="240">
        <v>138.398</v>
      </c>
    </row>
    <row r="10" spans="1:5" ht="15" customHeight="1">
      <c r="A10" s="363">
        <v>139.886</v>
      </c>
      <c r="B10" s="238">
        <v>1</v>
      </c>
      <c r="C10" s="239">
        <v>3000000</v>
      </c>
      <c r="D10" s="239">
        <v>7987491</v>
      </c>
      <c r="E10" s="240">
        <v>139.886</v>
      </c>
    </row>
    <row r="11" spans="1:5" ht="15" customHeight="1">
      <c r="A11" s="363">
        <v>139.887</v>
      </c>
      <c r="B11" s="238">
        <v>2</v>
      </c>
      <c r="C11" s="239">
        <v>5405879</v>
      </c>
      <c r="D11" s="239">
        <v>16898349</v>
      </c>
      <c r="E11" s="240">
        <v>279.774</v>
      </c>
    </row>
    <row r="12" spans="1:5" ht="15.25" customHeight="1">
      <c r="A12" s="364">
        <v>164.292</v>
      </c>
      <c r="B12" s="242">
        <v>1</v>
      </c>
      <c r="C12" s="243">
        <v>2700000</v>
      </c>
      <c r="D12" s="243">
        <v>10723339</v>
      </c>
      <c r="E12" s="244">
        <v>164.292</v>
      </c>
    </row>
    <row r="13" spans="1:5" ht="15.25" customHeight="1">
      <c r="A13" s="245" t="s">
        <v>305</v>
      </c>
      <c r="B13" s="204">
        <v>72</v>
      </c>
      <c r="C13" s="205">
        <v>145489056.80000001</v>
      </c>
      <c r="D13" s="205">
        <v>454773322</v>
      </c>
      <c r="E13" s="206">
        <v>8971.2749999999996</v>
      </c>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2"/>
  <sheetViews>
    <sheetView showGridLines="0" workbookViewId="0"/>
  </sheetViews>
  <sheetFormatPr baseColWidth="10" defaultColWidth="13.33203125" defaultRowHeight="17.5" customHeight="1"/>
  <cols>
    <col min="1" max="6" width="13.33203125" style="4" customWidth="1"/>
    <col min="7" max="16384" width="13.33203125" style="4"/>
  </cols>
  <sheetData>
    <row r="1" spans="1:5" ht="12.25" customHeight="1">
      <c r="A1" s="431" t="s">
        <v>16</v>
      </c>
      <c r="B1" s="432"/>
      <c r="C1" s="365"/>
      <c r="D1" s="365"/>
      <c r="E1" s="275"/>
    </row>
    <row r="2" spans="1:5" ht="15.25" customHeight="1">
      <c r="A2" s="232" t="s">
        <v>827</v>
      </c>
      <c r="B2" s="366" t="s">
        <v>828</v>
      </c>
      <c r="C2" s="367"/>
      <c r="D2" s="279"/>
      <c r="E2" s="368"/>
    </row>
    <row r="3" spans="1:5" ht="15.25" customHeight="1">
      <c r="A3" s="362">
        <v>112.39100000000001</v>
      </c>
      <c r="B3" s="369">
        <v>112.39100000000001</v>
      </c>
      <c r="C3" s="367"/>
      <c r="D3" s="279"/>
      <c r="E3" s="368"/>
    </row>
    <row r="4" spans="1:5" ht="15" customHeight="1">
      <c r="A4" s="363">
        <v>121.352</v>
      </c>
      <c r="B4" s="370">
        <v>2184.3359999999998</v>
      </c>
      <c r="C4" s="367"/>
      <c r="D4" s="279"/>
      <c r="E4" s="368"/>
    </row>
    <row r="5" spans="1:5" ht="15" customHeight="1">
      <c r="A5" s="363">
        <v>124.02200000000001</v>
      </c>
      <c r="B5" s="370">
        <v>868.154</v>
      </c>
      <c r="C5" s="367"/>
      <c r="D5" s="279"/>
      <c r="E5" s="368"/>
    </row>
    <row r="6" spans="1:5" ht="15" customHeight="1">
      <c r="A6" s="363">
        <v>126.405</v>
      </c>
      <c r="B6" s="370">
        <v>126.405</v>
      </c>
      <c r="C6" s="367"/>
      <c r="D6" s="279"/>
      <c r="E6" s="368"/>
    </row>
    <row r="7" spans="1:5" ht="15" customHeight="1">
      <c r="A7" s="363">
        <v>129.90199999999999</v>
      </c>
      <c r="B7" s="370">
        <v>129.90199999999999</v>
      </c>
      <c r="C7" s="367"/>
      <c r="D7" s="279"/>
      <c r="E7" s="368"/>
    </row>
    <row r="8" spans="1:5" ht="15" customHeight="1">
      <c r="A8" s="363">
        <v>138.398</v>
      </c>
      <c r="B8" s="370">
        <v>553.59199999999998</v>
      </c>
      <c r="C8" s="367"/>
      <c r="D8" s="279"/>
      <c r="E8" s="368"/>
    </row>
    <row r="9" spans="1:5" ht="15" customHeight="1">
      <c r="A9" s="363">
        <v>139.887</v>
      </c>
      <c r="B9" s="370">
        <v>419.661</v>
      </c>
      <c r="C9" s="367"/>
      <c r="D9" s="279"/>
      <c r="E9" s="368"/>
    </row>
    <row r="10" spans="1:5" ht="15" customHeight="1">
      <c r="A10" s="363">
        <v>168.77699999999999</v>
      </c>
      <c r="B10" s="370">
        <v>168.77699999999999</v>
      </c>
      <c r="C10" s="367"/>
      <c r="D10" s="279"/>
      <c r="E10" s="368"/>
    </row>
    <row r="11" spans="1:5" ht="15.25" customHeight="1">
      <c r="A11" s="364">
        <v>177.62299999999999</v>
      </c>
      <c r="B11" s="371">
        <v>177.62299999999999</v>
      </c>
      <c r="C11" s="367"/>
      <c r="D11" s="279"/>
      <c r="E11" s="368"/>
    </row>
    <row r="12" spans="1:5" ht="15.25" customHeight="1">
      <c r="A12" s="245" t="s">
        <v>305</v>
      </c>
      <c r="B12" s="372">
        <v>4740.8410000000003</v>
      </c>
      <c r="C12" s="373"/>
      <c r="D12" s="271"/>
      <c r="E12" s="272"/>
    </row>
  </sheetData>
  <mergeCells count="1">
    <mergeCell ref="A1:B1"/>
  </mergeCells>
  <pageMargins left="0.7" right="0.7" top="0.75" bottom="0.75" header="0.3" footer="0.3"/>
  <pageSetup orientation="portrait"/>
  <headerFooter>
    <oddFooter>&amp;C&amp;"Helvetica Neue,Regular"&amp;12&amp;K000000&amp;P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2"/>
  <sheetViews>
    <sheetView showGridLines="0" topLeftCell="A3" workbookViewId="0"/>
  </sheetViews>
  <sheetFormatPr baseColWidth="10" defaultColWidth="8.83203125" defaultRowHeight="14.5" customHeight="1"/>
  <cols>
    <col min="1" max="1" width="13.1640625" style="4" customWidth="1"/>
    <col min="2" max="2" width="26.1640625" style="4" customWidth="1"/>
    <col min="3" max="6" width="8.83203125" style="4" customWidth="1"/>
    <col min="7" max="16384" width="8.83203125" style="4"/>
  </cols>
  <sheetData>
    <row r="1" spans="1:5" ht="9" hidden="1" customHeight="1">
      <c r="A1" s="19"/>
      <c r="B1" s="19"/>
      <c r="C1" s="19"/>
      <c r="D1" s="374"/>
      <c r="E1" s="375"/>
    </row>
    <row r="2" spans="1:5" ht="9" hidden="1" customHeight="1">
      <c r="A2" s="19"/>
      <c r="B2" s="19"/>
      <c r="C2" s="19"/>
      <c r="D2" s="374"/>
      <c r="E2" s="375"/>
    </row>
    <row r="3" spans="1:5" ht="13.5" customHeight="1">
      <c r="A3" s="19"/>
      <c r="B3" s="19"/>
      <c r="C3" s="19"/>
      <c r="D3" s="376"/>
      <c r="E3" s="275"/>
    </row>
    <row r="4" spans="1:5" ht="13.5" customHeight="1">
      <c r="A4" s="19"/>
      <c r="B4" s="19"/>
      <c r="C4" s="377" t="e">
        <f>GETPIVOTDATA("PLOT AREA 
(SQ.YD)",'Sheet15 - Table 1'!$A$2,"PLOT AREA 
(SQ.YD)",112.391)/'Sheet15 - Table 1'!$A$3</f>
        <v>#REF!</v>
      </c>
      <c r="D4" s="278"/>
      <c r="E4" s="368"/>
    </row>
    <row r="5" spans="1:5" ht="13.5" customHeight="1">
      <c r="A5" s="19"/>
      <c r="B5" s="19"/>
      <c r="C5" s="377" t="e">
        <f>GETPIVOTDATA("PLOT AREA 
(SQ.YD)",'Sheet15 - Table 1'!$A$2,"PLOT AREA 
(SQ.YD)",121.352)/'Sheet15 - Table 1'!$A$4</f>
        <v>#REF!</v>
      </c>
      <c r="D5" s="278"/>
      <c r="E5" s="368"/>
    </row>
    <row r="6" spans="1:5" ht="13.5" customHeight="1">
      <c r="A6" s="19"/>
      <c r="B6" s="19"/>
      <c r="C6" s="377" t="e">
        <f>GETPIVOTDATA("PLOT AREA 
(SQ.YD)",'Sheet15 - Table 1'!$A$2,"PLOT AREA 
(SQ.YD)",124.022)/'Sheet15 - Table 1'!$A$5</f>
        <v>#REF!</v>
      </c>
      <c r="D6" s="278"/>
      <c r="E6" s="368"/>
    </row>
    <row r="7" spans="1:5" ht="13.5" customHeight="1">
      <c r="A7" s="19"/>
      <c r="B7" s="19"/>
      <c r="C7" s="377" t="e">
        <f>GETPIVOTDATA("PLOT AREA 
(SQ.YD)",'Sheet15 - Table 1'!$A$2,"PLOT AREA 
(SQ.YD)",126.405)/'Sheet15 - Table 1'!$A$6</f>
        <v>#REF!</v>
      </c>
      <c r="D7" s="278"/>
      <c r="E7" s="368"/>
    </row>
    <row r="8" spans="1:5" ht="13.5" customHeight="1">
      <c r="A8" s="19"/>
      <c r="B8" s="19"/>
      <c r="C8" s="377" t="e">
        <f>GETPIVOTDATA("PLOT AREA 
(SQ.YD)",'Sheet15 - Table 1'!$A$2,"PLOT AREA 
(SQ.YD)",129.902)/'Sheet15 - Table 1'!$A$7</f>
        <v>#REF!</v>
      </c>
      <c r="D8" s="278"/>
      <c r="E8" s="368"/>
    </row>
    <row r="9" spans="1:5" ht="13.5" customHeight="1">
      <c r="A9" s="19"/>
      <c r="B9" s="19"/>
      <c r="C9" s="377" t="e">
        <f>GETPIVOTDATA("PLOT AREA 
(SQ.YD)",'Sheet15 - Table 1'!$A$2,"PLOT AREA 
(SQ.YD)",138.398)/'Sheet15 - Table 1'!$A$8</f>
        <v>#REF!</v>
      </c>
      <c r="D9" s="278"/>
      <c r="E9" s="368"/>
    </row>
    <row r="10" spans="1:5" ht="13.5" customHeight="1">
      <c r="A10" s="19"/>
      <c r="B10" s="19"/>
      <c r="C10" s="377" t="e">
        <f>GETPIVOTDATA("PLOT AREA 
(SQ.YD)",'Sheet15 - Table 1'!$A$2,"PLOT AREA 
(SQ.YD)",139.887)/'Sheet15 - Table 1'!$A$9</f>
        <v>#REF!</v>
      </c>
      <c r="D10" s="278"/>
      <c r="E10" s="368"/>
    </row>
    <row r="11" spans="1:5" ht="13.5" customHeight="1">
      <c r="A11" s="19"/>
      <c r="B11" s="19"/>
      <c r="C11" s="377" t="e">
        <f>GETPIVOTDATA("PLOT AREA 
(SQ.YD)",'Sheet15 - Table 1'!$A$2,"PLOT AREA 
(SQ.YD)",168.777)/'Sheet15 - Table 1'!$A$10</f>
        <v>#REF!</v>
      </c>
      <c r="D11" s="278"/>
      <c r="E11" s="368"/>
    </row>
    <row r="12" spans="1:5" ht="13.5" customHeight="1">
      <c r="A12" s="19"/>
      <c r="B12" s="19"/>
      <c r="C12" s="377" t="e">
        <f>GETPIVOTDATA("PLOT AREA 
(SQ.YD)",'Sheet15 - Table 1'!$A$2,"PLOT AREA 
(SQ.YD)",177.623)/'Sheet15 - Table 1'!$A$11</f>
        <v>#REF!</v>
      </c>
      <c r="D12" s="270"/>
      <c r="E12" s="272"/>
    </row>
  </sheetData>
  <pageMargins left="0.7" right="0.7" top="0.75" bottom="0.75" header="0.3" footer="0.3"/>
  <pageSetup orientation="portrait"/>
  <headerFooter>
    <oddFooter>&amp;C&amp;"Helvetica Neue,Regular"&amp;12&amp;K000000&amp;P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04"/>
  <sheetViews>
    <sheetView showGridLines="0" workbookViewId="0"/>
  </sheetViews>
  <sheetFormatPr baseColWidth="10" defaultColWidth="8.83203125" defaultRowHeight="14.5" customHeight="1"/>
  <cols>
    <col min="1" max="1" width="8.83203125" style="4" customWidth="1"/>
    <col min="2" max="2" width="7.1640625" style="4" customWidth="1"/>
    <col min="3" max="3" width="10" style="4" customWidth="1"/>
    <col min="4" max="4" width="14.5" style="4" customWidth="1"/>
    <col min="5" max="5" width="13.1640625" style="4" customWidth="1"/>
    <col min="6" max="6" width="8.83203125" style="4" customWidth="1"/>
    <col min="7" max="16384" width="8.83203125" style="4"/>
  </cols>
  <sheetData>
    <row r="1" spans="1:5" ht="13.5" customHeight="1">
      <c r="A1" s="19"/>
      <c r="B1" s="19"/>
      <c r="C1" s="19"/>
      <c r="D1" s="19"/>
      <c r="E1" s="19"/>
    </row>
    <row r="2" spans="1:5" ht="13.5" customHeight="1">
      <c r="A2" s="19"/>
      <c r="B2" s="44"/>
      <c r="C2" s="44"/>
      <c r="D2" s="44"/>
      <c r="E2" s="44"/>
    </row>
    <row r="3" spans="1:5" ht="13.5" customHeight="1">
      <c r="A3" s="45"/>
      <c r="B3" s="378" t="s">
        <v>271</v>
      </c>
      <c r="C3" s="378" t="s">
        <v>325</v>
      </c>
      <c r="D3" s="378" t="s">
        <v>830</v>
      </c>
      <c r="E3" s="378" t="s">
        <v>831</v>
      </c>
    </row>
    <row r="4" spans="1:5" ht="13.5" customHeight="1">
      <c r="A4" s="45"/>
      <c r="B4" s="379">
        <v>1</v>
      </c>
      <c r="C4" s="319" t="s">
        <v>358</v>
      </c>
      <c r="D4" s="319" t="s">
        <v>832</v>
      </c>
      <c r="E4" s="320">
        <v>16000</v>
      </c>
    </row>
    <row r="5" spans="1:5" ht="13.5" customHeight="1">
      <c r="A5" s="45"/>
      <c r="B5" s="379">
        <v>2</v>
      </c>
      <c r="C5" s="319" t="s">
        <v>341</v>
      </c>
      <c r="D5" s="379">
        <v>201</v>
      </c>
      <c r="E5" s="320">
        <v>2150</v>
      </c>
    </row>
    <row r="6" spans="1:5" ht="13.5" customHeight="1">
      <c r="A6" s="45"/>
      <c r="B6" s="379">
        <f t="shared" ref="B6:B24" si="0">B5+1</f>
        <v>3</v>
      </c>
      <c r="C6" s="319" t="s">
        <v>341</v>
      </c>
      <c r="D6" s="379">
        <v>202</v>
      </c>
      <c r="E6" s="320">
        <v>1800</v>
      </c>
    </row>
    <row r="7" spans="1:5" ht="13.5" customHeight="1">
      <c r="A7" s="45"/>
      <c r="B7" s="379">
        <f t="shared" si="0"/>
        <v>4</v>
      </c>
      <c r="C7" s="319" t="s">
        <v>341</v>
      </c>
      <c r="D7" s="26" t="s">
        <v>833</v>
      </c>
      <c r="E7" s="133">
        <v>850</v>
      </c>
    </row>
    <row r="8" spans="1:5" ht="13.5" customHeight="1">
      <c r="A8" s="45"/>
      <c r="B8" s="379">
        <f t="shared" si="0"/>
        <v>5</v>
      </c>
      <c r="C8" s="319" t="s">
        <v>341</v>
      </c>
      <c r="D8" s="26" t="s">
        <v>834</v>
      </c>
      <c r="E8" s="133">
        <v>660</v>
      </c>
    </row>
    <row r="9" spans="1:5" ht="13.5" customHeight="1">
      <c r="A9" s="45"/>
      <c r="B9" s="379">
        <f t="shared" si="0"/>
        <v>6</v>
      </c>
      <c r="C9" s="319" t="s">
        <v>341</v>
      </c>
      <c r="D9" s="173">
        <v>204</v>
      </c>
      <c r="E9" s="133">
        <v>655</v>
      </c>
    </row>
    <row r="10" spans="1:5" ht="13.5" customHeight="1">
      <c r="A10" s="45"/>
      <c r="B10" s="379">
        <f t="shared" si="0"/>
        <v>7</v>
      </c>
      <c r="C10" s="319" t="s">
        <v>341</v>
      </c>
      <c r="D10" s="26" t="s">
        <v>835</v>
      </c>
      <c r="E10" s="133">
        <v>715</v>
      </c>
    </row>
    <row r="11" spans="1:5" ht="13.5" customHeight="1">
      <c r="A11" s="45"/>
      <c r="B11" s="379">
        <f t="shared" si="0"/>
        <v>8</v>
      </c>
      <c r="C11" s="319" t="s">
        <v>341</v>
      </c>
      <c r="D11" s="26" t="s">
        <v>836</v>
      </c>
      <c r="E11" s="133">
        <v>710</v>
      </c>
    </row>
    <row r="12" spans="1:5" ht="13.5" customHeight="1">
      <c r="A12" s="45"/>
      <c r="B12" s="379">
        <f t="shared" si="0"/>
        <v>9</v>
      </c>
      <c r="C12" s="319" t="s">
        <v>341</v>
      </c>
      <c r="D12" s="173">
        <v>208</v>
      </c>
      <c r="E12" s="133">
        <v>740</v>
      </c>
    </row>
    <row r="13" spans="1:5" ht="13.5" customHeight="1">
      <c r="A13" s="45"/>
      <c r="B13" s="379">
        <f t="shared" si="0"/>
        <v>10</v>
      </c>
      <c r="C13" s="319" t="s">
        <v>341</v>
      </c>
      <c r="D13" s="173">
        <v>209</v>
      </c>
      <c r="E13" s="133">
        <v>985</v>
      </c>
    </row>
    <row r="14" spans="1:5" ht="13.5" customHeight="1">
      <c r="A14" s="45"/>
      <c r="B14" s="379">
        <f t="shared" si="0"/>
        <v>11</v>
      </c>
      <c r="C14" s="319" t="s">
        <v>341</v>
      </c>
      <c r="D14" s="173">
        <v>210</v>
      </c>
      <c r="E14" s="133">
        <v>1450</v>
      </c>
    </row>
    <row r="15" spans="1:5" ht="13.5" customHeight="1">
      <c r="A15" s="45"/>
      <c r="B15" s="379">
        <f t="shared" si="0"/>
        <v>12</v>
      </c>
      <c r="C15" s="319" t="s">
        <v>341</v>
      </c>
      <c r="D15" s="173">
        <v>211</v>
      </c>
      <c r="E15" s="133">
        <v>1175</v>
      </c>
    </row>
    <row r="16" spans="1:5" ht="13.5" customHeight="1">
      <c r="A16" s="45"/>
      <c r="B16" s="379">
        <f t="shared" si="0"/>
        <v>13</v>
      </c>
      <c r="C16" s="319" t="s">
        <v>341</v>
      </c>
      <c r="D16" s="319" t="s">
        <v>837</v>
      </c>
      <c r="E16" s="320">
        <v>1440</v>
      </c>
    </row>
    <row r="17" spans="1:5" ht="13.5" customHeight="1">
      <c r="A17" s="45"/>
      <c r="B17" s="379">
        <f t="shared" si="0"/>
        <v>14</v>
      </c>
      <c r="C17" s="319" t="s">
        <v>341</v>
      </c>
      <c r="D17" s="319" t="s">
        <v>838</v>
      </c>
      <c r="E17" s="320">
        <v>1275</v>
      </c>
    </row>
    <row r="18" spans="1:5" ht="13.5" customHeight="1">
      <c r="A18" s="45"/>
      <c r="B18" s="379">
        <f t="shared" si="0"/>
        <v>15</v>
      </c>
      <c r="C18" s="319" t="s">
        <v>350</v>
      </c>
      <c r="D18" s="173">
        <v>410</v>
      </c>
      <c r="E18" s="133">
        <v>1450</v>
      </c>
    </row>
    <row r="19" spans="1:5" ht="13.5" customHeight="1">
      <c r="A19" s="45"/>
      <c r="B19" s="379">
        <f t="shared" si="0"/>
        <v>16</v>
      </c>
      <c r="C19" s="319" t="s">
        <v>350</v>
      </c>
      <c r="D19" s="173">
        <v>411</v>
      </c>
      <c r="E19" s="133">
        <v>1175</v>
      </c>
    </row>
    <row r="20" spans="1:5" ht="13.5" customHeight="1">
      <c r="A20" s="45"/>
      <c r="B20" s="379">
        <f t="shared" si="0"/>
        <v>17</v>
      </c>
      <c r="C20" s="319" t="s">
        <v>350</v>
      </c>
      <c r="D20" s="26" t="s">
        <v>839</v>
      </c>
      <c r="E20" s="133">
        <v>1440</v>
      </c>
    </row>
    <row r="21" spans="1:5" ht="13.5" customHeight="1">
      <c r="A21" s="45"/>
      <c r="B21" s="379">
        <f t="shared" si="0"/>
        <v>18</v>
      </c>
      <c r="C21" s="319" t="s">
        <v>350</v>
      </c>
      <c r="D21" s="173">
        <v>402</v>
      </c>
      <c r="E21" s="133">
        <v>1800</v>
      </c>
    </row>
    <row r="22" spans="1:5" ht="13.5" customHeight="1">
      <c r="A22" s="45"/>
      <c r="B22" s="379">
        <f t="shared" si="0"/>
        <v>19</v>
      </c>
      <c r="C22" s="319" t="s">
        <v>344</v>
      </c>
      <c r="D22" s="173">
        <v>602</v>
      </c>
      <c r="E22" s="133">
        <v>860</v>
      </c>
    </row>
    <row r="23" spans="1:5" ht="13.5" customHeight="1">
      <c r="A23" s="45"/>
      <c r="B23" s="379">
        <f t="shared" si="0"/>
        <v>20</v>
      </c>
      <c r="C23" s="319" t="s">
        <v>344</v>
      </c>
      <c r="D23" s="26" t="s">
        <v>840</v>
      </c>
      <c r="E23" s="133">
        <v>510</v>
      </c>
    </row>
    <row r="24" spans="1:5" ht="13.5" customHeight="1">
      <c r="A24" s="45"/>
      <c r="B24" s="379">
        <f t="shared" si="0"/>
        <v>21</v>
      </c>
      <c r="C24" s="319" t="s">
        <v>344</v>
      </c>
      <c r="D24" s="173">
        <v>611</v>
      </c>
      <c r="E24" s="133">
        <v>1175</v>
      </c>
    </row>
    <row r="25" spans="1:5" ht="13.5" customHeight="1">
      <c r="A25" s="45"/>
      <c r="B25" s="143"/>
      <c r="C25" s="319" t="s">
        <v>344</v>
      </c>
      <c r="D25" s="173">
        <v>612</v>
      </c>
      <c r="E25" s="133">
        <v>1030</v>
      </c>
    </row>
    <row r="26" spans="1:5" ht="13.5" customHeight="1">
      <c r="A26" s="45"/>
      <c r="B26" s="379">
        <f>B24+1</f>
        <v>22</v>
      </c>
      <c r="C26" s="319" t="s">
        <v>345</v>
      </c>
      <c r="D26" s="173">
        <v>702</v>
      </c>
      <c r="E26" s="133">
        <v>860</v>
      </c>
    </row>
    <row r="27" spans="1:5" ht="13.5" customHeight="1">
      <c r="A27" s="45"/>
      <c r="B27" s="379">
        <f t="shared" ref="B27:B37" si="1">B26+1</f>
        <v>23</v>
      </c>
      <c r="C27" s="319" t="s">
        <v>345</v>
      </c>
      <c r="D27" s="26" t="s">
        <v>841</v>
      </c>
      <c r="E27" s="133">
        <v>510</v>
      </c>
    </row>
    <row r="28" spans="1:5" ht="13.5" customHeight="1">
      <c r="A28" s="45"/>
      <c r="B28" s="379">
        <f t="shared" si="1"/>
        <v>24</v>
      </c>
      <c r="C28" s="319" t="s">
        <v>346</v>
      </c>
      <c r="D28" s="26" t="s">
        <v>842</v>
      </c>
      <c r="E28" s="133">
        <v>3530</v>
      </c>
    </row>
    <row r="29" spans="1:5" ht="13.5" customHeight="1">
      <c r="A29" s="45"/>
      <c r="B29" s="379">
        <f t="shared" si="1"/>
        <v>25</v>
      </c>
      <c r="C29" s="319" t="s">
        <v>347</v>
      </c>
      <c r="D29" s="173">
        <v>901</v>
      </c>
      <c r="E29" s="133">
        <v>2220</v>
      </c>
    </row>
    <row r="30" spans="1:5" ht="13.5" customHeight="1">
      <c r="A30" s="45"/>
      <c r="B30" s="379">
        <f t="shared" si="1"/>
        <v>26</v>
      </c>
      <c r="C30" s="319" t="s">
        <v>347</v>
      </c>
      <c r="D30" s="173">
        <v>909</v>
      </c>
      <c r="E30" s="133">
        <v>985</v>
      </c>
    </row>
    <row r="31" spans="1:5" ht="13.5" customHeight="1">
      <c r="A31" s="45"/>
      <c r="B31" s="379">
        <f t="shared" si="1"/>
        <v>27</v>
      </c>
      <c r="C31" s="319" t="s">
        <v>347</v>
      </c>
      <c r="D31" s="173">
        <v>910</v>
      </c>
      <c r="E31" s="133">
        <v>1520</v>
      </c>
    </row>
    <row r="32" spans="1:5" ht="13.5" customHeight="1">
      <c r="A32" s="45"/>
      <c r="B32" s="379">
        <f t="shared" si="1"/>
        <v>28</v>
      </c>
      <c r="C32" s="319" t="s">
        <v>347</v>
      </c>
      <c r="D32" s="26" t="s">
        <v>843</v>
      </c>
      <c r="E32" s="133">
        <v>1440</v>
      </c>
    </row>
    <row r="33" spans="1:5" ht="13.5" customHeight="1">
      <c r="A33" s="45"/>
      <c r="B33" s="379">
        <f t="shared" si="1"/>
        <v>29</v>
      </c>
      <c r="C33" s="319" t="s">
        <v>347</v>
      </c>
      <c r="D33" s="26" t="s">
        <v>844</v>
      </c>
      <c r="E33" s="133">
        <v>1315</v>
      </c>
    </row>
    <row r="34" spans="1:5" ht="13.5" customHeight="1">
      <c r="A34" s="45"/>
      <c r="B34" s="379">
        <f t="shared" si="1"/>
        <v>30</v>
      </c>
      <c r="C34" s="319" t="s">
        <v>845</v>
      </c>
      <c r="D34" s="319" t="s">
        <v>846</v>
      </c>
      <c r="E34" s="320">
        <v>0</v>
      </c>
    </row>
    <row r="35" spans="1:5" ht="13.5" customHeight="1">
      <c r="A35" s="45"/>
      <c r="B35" s="379">
        <f t="shared" si="1"/>
        <v>31</v>
      </c>
      <c r="C35" s="319" t="s">
        <v>327</v>
      </c>
      <c r="D35" s="379">
        <v>1102</v>
      </c>
      <c r="E35" s="320">
        <v>860</v>
      </c>
    </row>
    <row r="36" spans="1:5" ht="13.5" customHeight="1">
      <c r="A36" s="45"/>
      <c r="B36" s="379">
        <f t="shared" si="1"/>
        <v>32</v>
      </c>
      <c r="C36" s="319" t="s">
        <v>327</v>
      </c>
      <c r="D36" s="26" t="s">
        <v>847</v>
      </c>
      <c r="E36" s="133">
        <v>510</v>
      </c>
    </row>
    <row r="37" spans="1:5" ht="13.5" customHeight="1">
      <c r="A37" s="45"/>
      <c r="B37" s="379">
        <f t="shared" si="1"/>
        <v>33</v>
      </c>
      <c r="C37" s="319" t="s">
        <v>327</v>
      </c>
      <c r="D37" s="173">
        <v>1110</v>
      </c>
      <c r="E37" s="133">
        <v>1520</v>
      </c>
    </row>
    <row r="38" spans="1:5" ht="13.5" customHeight="1">
      <c r="A38" s="45"/>
      <c r="B38" s="143"/>
      <c r="C38" s="319" t="s">
        <v>327</v>
      </c>
      <c r="D38" s="26" t="s">
        <v>848</v>
      </c>
      <c r="E38" s="133">
        <v>1315</v>
      </c>
    </row>
    <row r="39" spans="1:5" ht="13.5" customHeight="1">
      <c r="A39" s="45"/>
      <c r="B39" s="379">
        <f>B37+1</f>
        <v>34</v>
      </c>
      <c r="C39" s="319" t="s">
        <v>328</v>
      </c>
      <c r="D39" s="173">
        <v>1210</v>
      </c>
      <c r="E39" s="133">
        <v>1520</v>
      </c>
    </row>
    <row r="40" spans="1:5" ht="13.5" customHeight="1">
      <c r="A40" s="45"/>
      <c r="B40" s="379">
        <f>B39+1</f>
        <v>35</v>
      </c>
      <c r="C40" s="319" t="s">
        <v>328</v>
      </c>
      <c r="D40" s="173">
        <v>1211</v>
      </c>
      <c r="E40" s="133">
        <v>1175</v>
      </c>
    </row>
    <row r="41" spans="1:5" ht="13.5" customHeight="1">
      <c r="A41" s="45"/>
      <c r="B41" s="379">
        <v>36</v>
      </c>
      <c r="C41" s="319" t="s">
        <v>328</v>
      </c>
      <c r="D41" s="173">
        <v>1212</v>
      </c>
      <c r="E41" s="133">
        <v>1090</v>
      </c>
    </row>
    <row r="42" spans="1:5" ht="13.5" customHeight="1">
      <c r="A42" s="45"/>
      <c r="B42" s="379">
        <f t="shared" ref="B42:B81" si="2">B41+1</f>
        <v>37</v>
      </c>
      <c r="C42" s="319" t="s">
        <v>328</v>
      </c>
      <c r="D42" s="26" t="s">
        <v>849</v>
      </c>
      <c r="E42" s="133">
        <v>1440</v>
      </c>
    </row>
    <row r="43" spans="1:5" ht="13.5" customHeight="1">
      <c r="A43" s="45"/>
      <c r="B43" s="379">
        <f t="shared" si="2"/>
        <v>38</v>
      </c>
      <c r="C43" s="319" t="s">
        <v>329</v>
      </c>
      <c r="D43" s="173">
        <v>1304</v>
      </c>
      <c r="E43" s="133">
        <v>655</v>
      </c>
    </row>
    <row r="44" spans="1:5" ht="13.5" customHeight="1">
      <c r="A44" s="45"/>
      <c r="B44" s="379">
        <f t="shared" si="2"/>
        <v>39</v>
      </c>
      <c r="C44" s="319" t="s">
        <v>329</v>
      </c>
      <c r="D44" s="26" t="s">
        <v>850</v>
      </c>
      <c r="E44" s="133">
        <v>715</v>
      </c>
    </row>
    <row r="45" spans="1:5" ht="13.5" customHeight="1">
      <c r="A45" s="45"/>
      <c r="B45" s="379">
        <f t="shared" si="2"/>
        <v>40</v>
      </c>
      <c r="C45" s="319" t="s">
        <v>329</v>
      </c>
      <c r="D45" s="173">
        <v>1310</v>
      </c>
      <c r="E45" s="133">
        <v>1520</v>
      </c>
    </row>
    <row r="46" spans="1:5" ht="13.5" customHeight="1">
      <c r="A46" s="45"/>
      <c r="B46" s="379">
        <f t="shared" si="2"/>
        <v>41</v>
      </c>
      <c r="C46" s="319" t="s">
        <v>329</v>
      </c>
      <c r="D46" s="173">
        <v>1311</v>
      </c>
      <c r="E46" s="133">
        <v>1175</v>
      </c>
    </row>
    <row r="47" spans="1:5" ht="13.5" customHeight="1">
      <c r="A47" s="45"/>
      <c r="B47" s="379">
        <f t="shared" si="2"/>
        <v>42</v>
      </c>
      <c r="C47" s="319" t="s">
        <v>329</v>
      </c>
      <c r="D47" s="173">
        <v>1312</v>
      </c>
      <c r="E47" s="133">
        <v>1090</v>
      </c>
    </row>
    <row r="48" spans="1:5" ht="13.5" customHeight="1">
      <c r="A48" s="45"/>
      <c r="B48" s="379">
        <f t="shared" si="2"/>
        <v>43</v>
      </c>
      <c r="C48" s="319" t="s">
        <v>329</v>
      </c>
      <c r="D48" s="26" t="s">
        <v>851</v>
      </c>
      <c r="E48" s="133">
        <v>1440</v>
      </c>
    </row>
    <row r="49" spans="1:5" ht="13.5" customHeight="1">
      <c r="A49" s="45"/>
      <c r="B49" s="379">
        <f t="shared" si="2"/>
        <v>44</v>
      </c>
      <c r="C49" s="319" t="s">
        <v>329</v>
      </c>
      <c r="D49" s="26" t="s">
        <v>852</v>
      </c>
      <c r="E49" s="133">
        <v>1315</v>
      </c>
    </row>
    <row r="50" spans="1:5" ht="13.5" customHeight="1">
      <c r="A50" s="45"/>
      <c r="B50" s="379">
        <f t="shared" si="2"/>
        <v>45</v>
      </c>
      <c r="C50" s="319" t="s">
        <v>330</v>
      </c>
      <c r="D50" s="379">
        <v>1402</v>
      </c>
      <c r="E50" s="320">
        <v>860</v>
      </c>
    </row>
    <row r="51" spans="1:5" ht="13.5" customHeight="1">
      <c r="A51" s="45"/>
      <c r="B51" s="379">
        <f t="shared" si="2"/>
        <v>46</v>
      </c>
      <c r="C51" s="319" t="s">
        <v>330</v>
      </c>
      <c r="D51" s="26" t="s">
        <v>853</v>
      </c>
      <c r="E51" s="133">
        <v>510</v>
      </c>
    </row>
    <row r="52" spans="1:5" ht="13.5" customHeight="1">
      <c r="A52" s="45"/>
      <c r="B52" s="379">
        <f t="shared" si="2"/>
        <v>47</v>
      </c>
      <c r="C52" s="319" t="s">
        <v>330</v>
      </c>
      <c r="D52" s="173">
        <v>1410</v>
      </c>
      <c r="E52" s="133">
        <v>1520</v>
      </c>
    </row>
    <row r="53" spans="1:5" ht="13.5" customHeight="1">
      <c r="A53" s="45"/>
      <c r="B53" s="379">
        <f t="shared" si="2"/>
        <v>48</v>
      </c>
      <c r="C53" s="319" t="s">
        <v>330</v>
      </c>
      <c r="D53" s="173">
        <v>1411</v>
      </c>
      <c r="E53" s="133">
        <v>1175</v>
      </c>
    </row>
    <row r="54" spans="1:5" ht="13.5" customHeight="1">
      <c r="A54" s="45"/>
      <c r="B54" s="379">
        <f t="shared" si="2"/>
        <v>49</v>
      </c>
      <c r="C54" s="319" t="s">
        <v>330</v>
      </c>
      <c r="D54" s="26" t="s">
        <v>854</v>
      </c>
      <c r="E54" s="133">
        <v>1440</v>
      </c>
    </row>
    <row r="55" spans="1:5" ht="13.5" customHeight="1">
      <c r="A55" s="45"/>
      <c r="B55" s="379">
        <f t="shared" si="2"/>
        <v>50</v>
      </c>
      <c r="C55" s="319" t="s">
        <v>330</v>
      </c>
      <c r="D55" s="26" t="s">
        <v>855</v>
      </c>
      <c r="E55" s="133">
        <v>1315</v>
      </c>
    </row>
    <row r="56" spans="1:5" ht="13.5" customHeight="1">
      <c r="A56" s="45"/>
      <c r="B56" s="379">
        <f t="shared" si="2"/>
        <v>51</v>
      </c>
      <c r="C56" s="319" t="s">
        <v>331</v>
      </c>
      <c r="D56" s="173">
        <v>1502</v>
      </c>
      <c r="E56" s="133">
        <v>860</v>
      </c>
    </row>
    <row r="57" spans="1:5" ht="13.5" customHeight="1">
      <c r="A57" s="45"/>
      <c r="B57" s="379">
        <f t="shared" si="2"/>
        <v>52</v>
      </c>
      <c r="C57" s="319" t="s">
        <v>331</v>
      </c>
      <c r="D57" s="26" t="s">
        <v>856</v>
      </c>
      <c r="E57" s="133">
        <v>510</v>
      </c>
    </row>
    <row r="58" spans="1:5" ht="13.5" customHeight="1">
      <c r="A58" s="45"/>
      <c r="B58" s="379">
        <f t="shared" si="2"/>
        <v>53</v>
      </c>
      <c r="C58" s="319" t="s">
        <v>332</v>
      </c>
      <c r="D58" s="173">
        <v>1610</v>
      </c>
      <c r="E58" s="133">
        <v>1520</v>
      </c>
    </row>
    <row r="59" spans="1:5" ht="13.5" customHeight="1">
      <c r="A59" s="45"/>
      <c r="B59" s="379">
        <f t="shared" si="2"/>
        <v>54</v>
      </c>
      <c r="C59" s="319" t="s">
        <v>332</v>
      </c>
      <c r="D59" s="173">
        <v>1611</v>
      </c>
      <c r="E59" s="133">
        <v>1175</v>
      </c>
    </row>
    <row r="60" spans="1:5" ht="13.5" customHeight="1">
      <c r="A60" s="45"/>
      <c r="B60" s="379">
        <f t="shared" si="2"/>
        <v>55</v>
      </c>
      <c r="C60" s="319" t="s">
        <v>332</v>
      </c>
      <c r="D60" s="319" t="s">
        <v>857</v>
      </c>
      <c r="E60" s="320">
        <v>1440</v>
      </c>
    </row>
    <row r="61" spans="1:5" ht="13.5" customHeight="1">
      <c r="A61" s="45"/>
      <c r="B61" s="379">
        <f t="shared" si="2"/>
        <v>56</v>
      </c>
      <c r="C61" s="319" t="s">
        <v>332</v>
      </c>
      <c r="D61" s="319" t="s">
        <v>858</v>
      </c>
      <c r="E61" s="320">
        <v>1315</v>
      </c>
    </row>
    <row r="62" spans="1:5" ht="13.5" customHeight="1">
      <c r="A62" s="45"/>
      <c r="B62" s="379">
        <f t="shared" si="2"/>
        <v>57</v>
      </c>
      <c r="C62" s="319" t="s">
        <v>333</v>
      </c>
      <c r="D62" s="173">
        <v>1710</v>
      </c>
      <c r="E62" s="133">
        <v>1520</v>
      </c>
    </row>
    <row r="63" spans="1:5" ht="13.5" customHeight="1">
      <c r="A63" s="45"/>
      <c r="B63" s="379">
        <f t="shared" si="2"/>
        <v>58</v>
      </c>
      <c r="C63" s="319" t="s">
        <v>333</v>
      </c>
      <c r="D63" s="173">
        <v>1711</v>
      </c>
      <c r="E63" s="133">
        <v>1175</v>
      </c>
    </row>
    <row r="64" spans="1:5" ht="13.5" customHeight="1">
      <c r="A64" s="45"/>
      <c r="B64" s="379">
        <f t="shared" si="2"/>
        <v>59</v>
      </c>
      <c r="C64" s="319" t="s">
        <v>333</v>
      </c>
      <c r="D64" s="26" t="s">
        <v>859</v>
      </c>
      <c r="E64" s="133">
        <v>1440</v>
      </c>
    </row>
    <row r="65" spans="1:5" ht="13.5" customHeight="1">
      <c r="A65" s="45"/>
      <c r="B65" s="379">
        <f t="shared" si="2"/>
        <v>60</v>
      </c>
      <c r="C65" s="319" t="s">
        <v>333</v>
      </c>
      <c r="D65" s="26" t="s">
        <v>860</v>
      </c>
      <c r="E65" s="133">
        <v>1315</v>
      </c>
    </row>
    <row r="66" spans="1:5" ht="13.5" customHeight="1">
      <c r="A66" s="45"/>
      <c r="B66" s="379">
        <f t="shared" si="2"/>
        <v>61</v>
      </c>
      <c r="C66" s="319" t="s">
        <v>334</v>
      </c>
      <c r="D66" s="173">
        <v>1802</v>
      </c>
      <c r="E66" s="133">
        <v>860</v>
      </c>
    </row>
    <row r="67" spans="1:5" ht="13.5" customHeight="1">
      <c r="A67" s="45"/>
      <c r="B67" s="379">
        <f t="shared" si="2"/>
        <v>62</v>
      </c>
      <c r="C67" s="319" t="s">
        <v>334</v>
      </c>
      <c r="D67" s="26" t="s">
        <v>861</v>
      </c>
      <c r="E67" s="133">
        <v>510</v>
      </c>
    </row>
    <row r="68" spans="1:5" ht="13.5" customHeight="1">
      <c r="A68" s="45"/>
      <c r="B68" s="379">
        <f t="shared" si="2"/>
        <v>63</v>
      </c>
      <c r="C68" s="319" t="s">
        <v>334</v>
      </c>
      <c r="D68" s="173">
        <v>1810</v>
      </c>
      <c r="E68" s="133">
        <v>1520</v>
      </c>
    </row>
    <row r="69" spans="1:5" ht="13.5" customHeight="1">
      <c r="A69" s="45"/>
      <c r="B69" s="379">
        <f t="shared" si="2"/>
        <v>64</v>
      </c>
      <c r="C69" s="319" t="s">
        <v>334</v>
      </c>
      <c r="D69" s="173">
        <v>1811</v>
      </c>
      <c r="E69" s="133">
        <v>1175</v>
      </c>
    </row>
    <row r="70" spans="1:5" ht="13.5" customHeight="1">
      <c r="A70" s="45"/>
      <c r="B70" s="379">
        <f t="shared" si="2"/>
        <v>65</v>
      </c>
      <c r="C70" s="319" t="s">
        <v>334</v>
      </c>
      <c r="D70" s="26" t="s">
        <v>862</v>
      </c>
      <c r="E70" s="133">
        <v>1440</v>
      </c>
    </row>
    <row r="71" spans="1:5" ht="13.5" customHeight="1">
      <c r="A71" s="45"/>
      <c r="B71" s="379">
        <f t="shared" si="2"/>
        <v>66</v>
      </c>
      <c r="C71" s="319" t="s">
        <v>334</v>
      </c>
      <c r="D71" s="26" t="s">
        <v>863</v>
      </c>
      <c r="E71" s="133">
        <v>1315</v>
      </c>
    </row>
    <row r="72" spans="1:5" ht="13.5" customHeight="1">
      <c r="A72" s="45"/>
      <c r="B72" s="379">
        <f t="shared" si="2"/>
        <v>67</v>
      </c>
      <c r="C72" s="319" t="s">
        <v>335</v>
      </c>
      <c r="D72" s="173">
        <v>1902</v>
      </c>
      <c r="E72" s="133">
        <v>860</v>
      </c>
    </row>
    <row r="73" spans="1:5" ht="13.5" customHeight="1">
      <c r="A73" s="45"/>
      <c r="B73" s="379">
        <f t="shared" si="2"/>
        <v>68</v>
      </c>
      <c r="C73" s="319" t="s">
        <v>335</v>
      </c>
      <c r="D73" s="26" t="s">
        <v>864</v>
      </c>
      <c r="E73" s="133">
        <v>510</v>
      </c>
    </row>
    <row r="74" spans="1:5" ht="13.5" customHeight="1">
      <c r="A74" s="45"/>
      <c r="B74" s="379">
        <f t="shared" si="2"/>
        <v>69</v>
      </c>
      <c r="C74" s="319" t="s">
        <v>335</v>
      </c>
      <c r="D74" s="173">
        <v>1910</v>
      </c>
      <c r="E74" s="133">
        <v>1520</v>
      </c>
    </row>
    <row r="75" spans="1:5" ht="13.5" customHeight="1">
      <c r="A75" s="45"/>
      <c r="B75" s="379">
        <f t="shared" si="2"/>
        <v>70</v>
      </c>
      <c r="C75" s="319" t="s">
        <v>335</v>
      </c>
      <c r="D75" s="173">
        <v>1911</v>
      </c>
      <c r="E75" s="133">
        <v>1175</v>
      </c>
    </row>
    <row r="76" spans="1:5" ht="13.5" customHeight="1">
      <c r="A76" s="45"/>
      <c r="B76" s="379">
        <f t="shared" si="2"/>
        <v>71</v>
      </c>
      <c r="C76" s="319" t="s">
        <v>335</v>
      </c>
      <c r="D76" s="26" t="s">
        <v>865</v>
      </c>
      <c r="E76" s="133">
        <v>1440</v>
      </c>
    </row>
    <row r="77" spans="1:5" ht="13.5" customHeight="1">
      <c r="A77" s="45"/>
      <c r="B77" s="379">
        <f t="shared" si="2"/>
        <v>72</v>
      </c>
      <c r="C77" s="319" t="s">
        <v>335</v>
      </c>
      <c r="D77" s="26" t="s">
        <v>866</v>
      </c>
      <c r="E77" s="133">
        <v>1315</v>
      </c>
    </row>
    <row r="78" spans="1:5" ht="13.5" customHeight="1">
      <c r="A78" s="45"/>
      <c r="B78" s="379">
        <f t="shared" si="2"/>
        <v>73</v>
      </c>
      <c r="C78" s="319" t="s">
        <v>867</v>
      </c>
      <c r="D78" s="26" t="s">
        <v>846</v>
      </c>
      <c r="E78" s="133">
        <v>0</v>
      </c>
    </row>
    <row r="79" spans="1:5" ht="13.5" customHeight="1">
      <c r="A79" s="45"/>
      <c r="B79" s="379">
        <f t="shared" si="2"/>
        <v>74</v>
      </c>
      <c r="C79" s="319" t="s">
        <v>868</v>
      </c>
      <c r="D79" s="379">
        <v>2110</v>
      </c>
      <c r="E79" s="320">
        <v>1520</v>
      </c>
    </row>
    <row r="80" spans="1:5" ht="13.5" customHeight="1">
      <c r="A80" s="45"/>
      <c r="B80" s="379">
        <f t="shared" si="2"/>
        <v>75</v>
      </c>
      <c r="C80" s="319" t="s">
        <v>868</v>
      </c>
      <c r="D80" s="379">
        <v>2111</v>
      </c>
      <c r="E80" s="320">
        <v>1175</v>
      </c>
    </row>
    <row r="81" spans="1:5" ht="13.5" customHeight="1">
      <c r="A81" s="45"/>
      <c r="B81" s="379">
        <f t="shared" si="2"/>
        <v>76</v>
      </c>
      <c r="C81" s="319" t="s">
        <v>868</v>
      </c>
      <c r="D81" s="26" t="s">
        <v>869</v>
      </c>
      <c r="E81" s="133">
        <v>1440</v>
      </c>
    </row>
    <row r="82" spans="1:5" ht="13.5" customHeight="1">
      <c r="A82" s="45"/>
      <c r="B82" s="143"/>
      <c r="C82" s="319" t="s">
        <v>868</v>
      </c>
      <c r="D82" s="26" t="s">
        <v>870</v>
      </c>
      <c r="E82" s="133">
        <v>715</v>
      </c>
    </row>
    <row r="83" spans="1:5" ht="13.5" customHeight="1">
      <c r="A83" s="45"/>
      <c r="B83" s="143"/>
      <c r="C83" s="319" t="s">
        <v>868</v>
      </c>
      <c r="D83" s="26" t="s">
        <v>871</v>
      </c>
      <c r="E83" s="133">
        <v>710</v>
      </c>
    </row>
    <row r="84" spans="1:5" ht="13.5" customHeight="1">
      <c r="A84" s="45"/>
      <c r="B84" s="379">
        <f>B81+1</f>
        <v>77</v>
      </c>
      <c r="C84" s="319" t="s">
        <v>868</v>
      </c>
      <c r="D84" s="26" t="s">
        <v>872</v>
      </c>
      <c r="E84" s="133">
        <v>1315</v>
      </c>
    </row>
    <row r="85" spans="1:5" ht="13.5" customHeight="1">
      <c r="A85" s="45"/>
      <c r="B85" s="379">
        <f t="shared" ref="B85:B98" si="3">B84+1</f>
        <v>78</v>
      </c>
      <c r="C85" s="319" t="s">
        <v>337</v>
      </c>
      <c r="D85" s="173">
        <v>2202</v>
      </c>
      <c r="E85" s="133">
        <v>860</v>
      </c>
    </row>
    <row r="86" spans="1:5" ht="13.5" customHeight="1">
      <c r="A86" s="45"/>
      <c r="B86" s="379">
        <f t="shared" si="3"/>
        <v>79</v>
      </c>
      <c r="C86" s="319" t="s">
        <v>337</v>
      </c>
      <c r="D86" s="26" t="s">
        <v>873</v>
      </c>
      <c r="E86" s="133">
        <v>660</v>
      </c>
    </row>
    <row r="87" spans="1:5" ht="13.5" customHeight="1">
      <c r="A87" s="45"/>
      <c r="B87" s="379">
        <f t="shared" si="3"/>
        <v>80</v>
      </c>
      <c r="C87" s="319" t="s">
        <v>337</v>
      </c>
      <c r="D87" s="173">
        <v>2204</v>
      </c>
      <c r="E87" s="133">
        <v>655</v>
      </c>
    </row>
    <row r="88" spans="1:5" ht="13.5" customHeight="1">
      <c r="A88" s="45"/>
      <c r="B88" s="379">
        <f t="shared" si="3"/>
        <v>81</v>
      </c>
      <c r="C88" s="319" t="s">
        <v>337</v>
      </c>
      <c r="D88" s="26" t="s">
        <v>874</v>
      </c>
      <c r="E88" s="133">
        <v>510</v>
      </c>
    </row>
    <row r="89" spans="1:5" ht="13.5" customHeight="1">
      <c r="A89" s="45"/>
      <c r="B89" s="379">
        <f t="shared" si="3"/>
        <v>82</v>
      </c>
      <c r="C89" s="319" t="s">
        <v>338</v>
      </c>
      <c r="D89" s="173">
        <v>2302</v>
      </c>
      <c r="E89" s="133">
        <v>860</v>
      </c>
    </row>
    <row r="90" spans="1:5" ht="13.5" customHeight="1">
      <c r="A90" s="45"/>
      <c r="B90" s="379">
        <f t="shared" si="3"/>
        <v>83</v>
      </c>
      <c r="C90" s="319" t="s">
        <v>338</v>
      </c>
      <c r="D90" s="26" t="s">
        <v>875</v>
      </c>
      <c r="E90" s="133">
        <v>510</v>
      </c>
    </row>
    <row r="91" spans="1:5" ht="13.5" customHeight="1">
      <c r="A91" s="45"/>
      <c r="B91" s="379">
        <f t="shared" si="3"/>
        <v>84</v>
      </c>
      <c r="C91" s="319" t="s">
        <v>338</v>
      </c>
      <c r="D91" s="319" t="s">
        <v>876</v>
      </c>
      <c r="E91" s="320">
        <v>500</v>
      </c>
    </row>
    <row r="92" spans="1:5" ht="13.5" customHeight="1">
      <c r="A92" s="45"/>
      <c r="B92" s="379">
        <f t="shared" si="3"/>
        <v>85</v>
      </c>
      <c r="C92" s="319" t="s">
        <v>339</v>
      </c>
      <c r="D92" s="26" t="s">
        <v>877</v>
      </c>
      <c r="E92" s="133">
        <v>500</v>
      </c>
    </row>
    <row r="93" spans="1:5" ht="13.5" customHeight="1">
      <c r="A93" s="45"/>
      <c r="B93" s="379">
        <f t="shared" si="3"/>
        <v>86</v>
      </c>
      <c r="C93" s="319" t="s">
        <v>339</v>
      </c>
      <c r="D93" s="173">
        <v>2410</v>
      </c>
      <c r="E93" s="133">
        <v>1520</v>
      </c>
    </row>
    <row r="94" spans="1:5" ht="13.5" customHeight="1">
      <c r="A94" s="45"/>
      <c r="B94" s="379">
        <f t="shared" si="3"/>
        <v>87</v>
      </c>
      <c r="C94" s="319" t="s">
        <v>339</v>
      </c>
      <c r="D94" s="26" t="s">
        <v>878</v>
      </c>
      <c r="E94" s="133">
        <v>1440</v>
      </c>
    </row>
    <row r="95" spans="1:5" ht="13.5" customHeight="1">
      <c r="A95" s="45"/>
      <c r="B95" s="379">
        <f t="shared" si="3"/>
        <v>88</v>
      </c>
      <c r="C95" s="319" t="s">
        <v>339</v>
      </c>
      <c r="D95" s="26" t="s">
        <v>879</v>
      </c>
      <c r="E95" s="133">
        <v>1315</v>
      </c>
    </row>
    <row r="96" spans="1:5" ht="13.5" customHeight="1">
      <c r="A96" s="45"/>
      <c r="B96" s="379">
        <f t="shared" si="3"/>
        <v>89</v>
      </c>
      <c r="C96" s="319" t="s">
        <v>340</v>
      </c>
      <c r="D96" s="173">
        <v>2510</v>
      </c>
      <c r="E96" s="133">
        <v>1520</v>
      </c>
    </row>
    <row r="97" spans="1:5" ht="13.5" customHeight="1">
      <c r="A97" s="45"/>
      <c r="B97" s="379">
        <f t="shared" si="3"/>
        <v>90</v>
      </c>
      <c r="C97" s="319" t="s">
        <v>340</v>
      </c>
      <c r="D97" s="173">
        <v>2511</v>
      </c>
      <c r="E97" s="133">
        <v>1175</v>
      </c>
    </row>
    <row r="98" spans="1:5" ht="13.5" customHeight="1">
      <c r="A98" s="45"/>
      <c r="B98" s="379">
        <f t="shared" si="3"/>
        <v>91</v>
      </c>
      <c r="C98" s="319" t="s">
        <v>340</v>
      </c>
      <c r="D98" s="26" t="s">
        <v>880</v>
      </c>
      <c r="E98" s="133">
        <v>1440</v>
      </c>
    </row>
    <row r="99" spans="1:5" ht="13.5" customHeight="1">
      <c r="A99" s="45"/>
      <c r="B99" s="379">
        <v>92</v>
      </c>
      <c r="C99" s="319" t="s">
        <v>881</v>
      </c>
      <c r="D99" s="26" t="s">
        <v>832</v>
      </c>
      <c r="E99" s="133">
        <v>17500</v>
      </c>
    </row>
    <row r="100" spans="1:5" ht="13.5" customHeight="1">
      <c r="A100" s="45"/>
      <c r="B100" s="379">
        <f>B99+1</f>
        <v>93</v>
      </c>
      <c r="C100" s="319" t="s">
        <v>882</v>
      </c>
      <c r="D100" s="26" t="s">
        <v>832</v>
      </c>
      <c r="E100" s="133">
        <v>17500</v>
      </c>
    </row>
    <row r="101" spans="1:5" ht="13.5" customHeight="1">
      <c r="A101" s="45"/>
      <c r="B101" s="143"/>
      <c r="C101" s="143"/>
      <c r="D101" s="134"/>
      <c r="E101" s="137">
        <f>SUM(E4:E100)</f>
        <v>157835</v>
      </c>
    </row>
    <row r="102" spans="1:5" ht="13.5" customHeight="1">
      <c r="A102" s="19"/>
      <c r="B102" s="100"/>
      <c r="C102" s="100"/>
      <c r="D102" s="380"/>
      <c r="E102" s="381">
        <v>419030</v>
      </c>
    </row>
    <row r="103" spans="1:5" ht="13.5" customHeight="1">
      <c r="A103" s="19"/>
      <c r="B103" s="19"/>
      <c r="C103" s="19"/>
      <c r="D103" s="19"/>
      <c r="E103" s="382">
        <v>419030</v>
      </c>
    </row>
    <row r="104" spans="1:5" ht="13.5" customHeight="1">
      <c r="A104" s="19"/>
      <c r="B104" s="19"/>
      <c r="C104" s="19"/>
      <c r="D104" s="19"/>
      <c r="E104" s="343">
        <f>E102-E103</f>
        <v>0</v>
      </c>
    </row>
  </sheetData>
  <pageMargins left="0.7" right="0.7" top="0.75" bottom="0.75" header="0.3" footer="0.3"/>
  <pageSetup orientation="portrait"/>
  <headerFooter>
    <oddFooter>&amp;C&amp;"Helvetica Neue,Regular"&amp;12&amp;K000000&amp;P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showGridLines="0" workbookViewId="0"/>
  </sheetViews>
  <sheetFormatPr baseColWidth="10" defaultColWidth="9.1640625" defaultRowHeight="13" customHeight="1"/>
  <cols>
    <col min="1" max="1" width="9.1640625" style="4" customWidth="1"/>
    <col min="2" max="2" width="14.5" style="4" customWidth="1"/>
    <col min="3" max="3" width="10" style="4" customWidth="1"/>
    <col min="4" max="6" width="9.1640625" style="4" customWidth="1"/>
    <col min="7" max="16384" width="9.1640625" style="4"/>
  </cols>
  <sheetData>
    <row r="1" spans="1:5" ht="13.5" customHeight="1">
      <c r="A1" s="44"/>
      <c r="B1" s="44"/>
      <c r="C1" s="19"/>
      <c r="D1" s="19"/>
      <c r="E1" s="19"/>
    </row>
    <row r="2" spans="1:5" ht="13.75" customHeight="1">
      <c r="A2" s="26" t="s">
        <v>883</v>
      </c>
      <c r="B2" s="134"/>
      <c r="C2" s="383"/>
      <c r="D2" s="19"/>
      <c r="E2" s="19"/>
    </row>
    <row r="3" spans="1:5" ht="26" customHeight="1">
      <c r="A3" s="305" t="s">
        <v>884</v>
      </c>
      <c r="B3" s="305" t="s">
        <v>885</v>
      </c>
      <c r="C3" s="384" t="s">
        <v>378</v>
      </c>
      <c r="D3" s="87"/>
      <c r="E3" s="19"/>
    </row>
    <row r="4" spans="1:5" ht="13.75" customHeight="1">
      <c r="A4" s="307"/>
      <c r="B4" s="385"/>
      <c r="C4" s="386"/>
      <c r="D4" s="87"/>
      <c r="E4" s="185"/>
    </row>
    <row r="5" spans="1:5" ht="13.75" customHeight="1">
      <c r="A5" s="307"/>
      <c r="B5" s="385"/>
      <c r="C5" s="386"/>
      <c r="D5" s="87"/>
      <c r="E5" s="185"/>
    </row>
    <row r="6" spans="1:5" ht="13.75" customHeight="1">
      <c r="A6" s="307"/>
      <c r="B6" s="385"/>
      <c r="C6" s="386"/>
      <c r="D6" s="87"/>
      <c r="E6" s="185"/>
    </row>
    <row r="7" spans="1:5" ht="13.75" customHeight="1">
      <c r="A7" s="307"/>
      <c r="B7" s="385"/>
      <c r="C7" s="386"/>
      <c r="D7" s="87"/>
      <c r="E7" s="185"/>
    </row>
    <row r="8" spans="1:5" ht="13.75" customHeight="1">
      <c r="A8" s="307"/>
      <c r="B8" s="385"/>
      <c r="C8" s="386"/>
      <c r="D8" s="87"/>
      <c r="E8" s="185"/>
    </row>
    <row r="9" spans="1:5" ht="13.75" customHeight="1">
      <c r="A9" s="307"/>
      <c r="B9" s="385"/>
      <c r="C9" s="386"/>
      <c r="D9" s="87"/>
      <c r="E9" s="185"/>
    </row>
    <row r="10" spans="1:5" ht="13.75" customHeight="1">
      <c r="A10" s="307"/>
      <c r="B10" s="385"/>
      <c r="C10" s="386"/>
      <c r="D10" s="87"/>
      <c r="E10" s="185"/>
    </row>
    <row r="11" spans="1:5" ht="13.75" customHeight="1">
      <c r="A11" s="307"/>
      <c r="B11" s="385"/>
      <c r="C11" s="386"/>
      <c r="D11" s="87"/>
      <c r="E11" s="185"/>
    </row>
    <row r="12" spans="1:5" ht="13.75" customHeight="1">
      <c r="A12" s="307"/>
      <c r="B12" s="385"/>
      <c r="C12" s="386"/>
      <c r="D12" s="87"/>
      <c r="E12" s="185"/>
    </row>
    <row r="13" spans="1:5" ht="13.75" customHeight="1">
      <c r="A13" s="307"/>
      <c r="B13" s="385"/>
      <c r="C13" s="386"/>
      <c r="D13" s="87"/>
      <c r="E13" s="185"/>
    </row>
    <row r="14" spans="1:5" ht="13.75" customHeight="1">
      <c r="A14" s="307"/>
      <c r="B14" s="385"/>
      <c r="C14" s="386"/>
      <c r="D14" s="87"/>
      <c r="E14" s="185"/>
    </row>
    <row r="15" spans="1:5" ht="13.75" customHeight="1">
      <c r="A15" s="307"/>
      <c r="B15" s="385"/>
      <c r="C15" s="386"/>
      <c r="D15" s="87"/>
      <c r="E15" s="185"/>
    </row>
    <row r="16" spans="1:5" ht="13.75" customHeight="1">
      <c r="A16" s="307"/>
      <c r="B16" s="385"/>
      <c r="C16" s="386"/>
      <c r="D16" s="87"/>
      <c r="E16" s="185"/>
    </row>
    <row r="17" spans="1:5" ht="13.75" customHeight="1">
      <c r="A17" s="26" t="s">
        <v>82</v>
      </c>
      <c r="B17" s="387">
        <f>SUM(B4:B15)</f>
        <v>0</v>
      </c>
      <c r="C17" s="173">
        <f>SUM(C4:C15)</f>
        <v>0</v>
      </c>
      <c r="D17" s="87"/>
      <c r="E17" s="19"/>
    </row>
  </sheetData>
  <pageMargins left="0.7" right="0.7" top="0.75" bottom="0.75" header="0.3" footer="0.3"/>
  <pageSetup orientation="portrait"/>
  <headerFooter>
    <oddFooter>&amp;C&amp;"Helvetica Neue,Regular"&amp;12&amp;K000000&amp;P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464"/>
  <sheetViews>
    <sheetView showGridLines="0" workbookViewId="0"/>
  </sheetViews>
  <sheetFormatPr baseColWidth="10" defaultColWidth="8.83203125" defaultRowHeight="14.5" customHeight="1"/>
  <cols>
    <col min="1" max="1" width="8.83203125" style="4" customWidth="1"/>
    <col min="2" max="2" width="5.6640625" style="4" customWidth="1"/>
    <col min="3" max="3" width="46.6640625" style="4" customWidth="1"/>
    <col min="4" max="4" width="14.6640625" style="4" customWidth="1"/>
    <col min="5" max="5" width="12.5" style="4" customWidth="1"/>
    <col min="6" max="6" width="11.5" style="4" customWidth="1"/>
    <col min="7" max="7" width="21.5" style="4" customWidth="1"/>
    <col min="8" max="8" width="9.83203125" style="4" customWidth="1"/>
    <col min="9" max="9" width="14.33203125" style="4" customWidth="1"/>
    <col min="10" max="10" width="7.5" style="4" customWidth="1"/>
    <col min="11" max="11" width="8.83203125" style="4" customWidth="1"/>
    <col min="12" max="16384" width="8.83203125" style="4"/>
  </cols>
  <sheetData>
    <row r="1" spans="1:10" ht="13.5" customHeight="1">
      <c r="A1" s="19"/>
      <c r="B1" s="44"/>
      <c r="C1" s="44"/>
      <c r="D1" s="44"/>
      <c r="E1" s="44"/>
      <c r="F1" s="44"/>
      <c r="G1" s="44"/>
      <c r="H1" s="44"/>
      <c r="I1" s="44"/>
      <c r="J1" s="44"/>
    </row>
    <row r="2" spans="1:10" ht="13.5" customHeight="1">
      <c r="A2" s="45"/>
      <c r="B2" s="318" t="s">
        <v>271</v>
      </c>
      <c r="C2" s="318" t="s">
        <v>886</v>
      </c>
      <c r="D2" s="318" t="s">
        <v>887</v>
      </c>
      <c r="E2" s="318" t="s">
        <v>888</v>
      </c>
      <c r="F2" s="318" t="s">
        <v>889</v>
      </c>
      <c r="G2" s="318" t="s">
        <v>890</v>
      </c>
      <c r="H2" s="318" t="s">
        <v>891</v>
      </c>
      <c r="I2" s="318" t="s">
        <v>892</v>
      </c>
      <c r="J2" s="318" t="s">
        <v>893</v>
      </c>
    </row>
    <row r="3" spans="1:10" ht="13.5" customHeight="1">
      <c r="A3" s="45"/>
      <c r="B3" s="173">
        <v>1</v>
      </c>
      <c r="C3" s="26" t="s">
        <v>894</v>
      </c>
      <c r="D3" s="116">
        <v>41201</v>
      </c>
      <c r="E3" s="26" t="s">
        <v>895</v>
      </c>
      <c r="F3" s="26" t="s">
        <v>896</v>
      </c>
      <c r="G3" s="26" t="s">
        <v>897</v>
      </c>
      <c r="H3" s="32">
        <v>446.73</v>
      </c>
      <c r="I3" s="173">
        <v>2498426</v>
      </c>
      <c r="J3" s="388">
        <v>5592.69805027645</v>
      </c>
    </row>
    <row r="4" spans="1:10" ht="13.5" customHeight="1">
      <c r="A4" s="45"/>
      <c r="B4" s="173">
        <v>2</v>
      </c>
      <c r="C4" s="26" t="s">
        <v>898</v>
      </c>
      <c r="D4" s="116">
        <v>41202</v>
      </c>
      <c r="E4" s="26" t="s">
        <v>895</v>
      </c>
      <c r="F4" s="26" t="s">
        <v>899</v>
      </c>
      <c r="G4" s="26" t="s">
        <v>900</v>
      </c>
      <c r="H4" s="32">
        <v>446.73</v>
      </c>
      <c r="I4" s="173">
        <v>2453753</v>
      </c>
      <c r="J4" s="388">
        <v>5492.69805027645</v>
      </c>
    </row>
    <row r="5" spans="1:10" ht="13.5" customHeight="1">
      <c r="A5" s="45"/>
      <c r="B5" s="173">
        <v>3</v>
      </c>
      <c r="C5" s="26" t="s">
        <v>898</v>
      </c>
      <c r="D5" s="116">
        <v>41202</v>
      </c>
      <c r="E5" s="26" t="s">
        <v>895</v>
      </c>
      <c r="F5" s="26" t="s">
        <v>901</v>
      </c>
      <c r="G5" s="26" t="s">
        <v>902</v>
      </c>
      <c r="H5" s="32">
        <v>446.73</v>
      </c>
      <c r="I5" s="173">
        <v>2453753</v>
      </c>
      <c r="J5" s="388">
        <v>5492.69805027645</v>
      </c>
    </row>
    <row r="6" spans="1:10" ht="13.5" customHeight="1">
      <c r="A6" s="45"/>
      <c r="B6" s="173">
        <v>4</v>
      </c>
      <c r="C6" s="26" t="s">
        <v>903</v>
      </c>
      <c r="D6" s="116">
        <v>41211</v>
      </c>
      <c r="E6" s="26" t="s">
        <v>895</v>
      </c>
      <c r="F6" s="26" t="s">
        <v>904</v>
      </c>
      <c r="G6" s="26" t="s">
        <v>905</v>
      </c>
      <c r="H6" s="32">
        <v>446.73</v>
      </c>
      <c r="I6" s="173">
        <v>2498426</v>
      </c>
      <c r="J6" s="388">
        <v>5592.69805027645</v>
      </c>
    </row>
    <row r="7" spans="1:10" ht="13.5" customHeight="1">
      <c r="A7" s="45"/>
      <c r="B7" s="173">
        <v>5</v>
      </c>
      <c r="C7" s="26" t="s">
        <v>906</v>
      </c>
      <c r="D7" s="116">
        <v>41234</v>
      </c>
      <c r="E7" s="26" t="s">
        <v>895</v>
      </c>
      <c r="F7" s="26" t="s">
        <v>907</v>
      </c>
      <c r="G7" s="26" t="s">
        <v>908</v>
      </c>
      <c r="H7" s="32">
        <v>446.73</v>
      </c>
      <c r="I7" s="173">
        <v>2434156</v>
      </c>
      <c r="J7" s="388">
        <v>5448.8303897208598</v>
      </c>
    </row>
    <row r="8" spans="1:10" ht="13.5" customHeight="1">
      <c r="A8" s="45"/>
      <c r="B8" s="173">
        <v>6</v>
      </c>
      <c r="C8" s="26" t="s">
        <v>909</v>
      </c>
      <c r="D8" s="116">
        <v>41235</v>
      </c>
      <c r="E8" s="26" t="s">
        <v>910</v>
      </c>
      <c r="F8" s="26" t="s">
        <v>911</v>
      </c>
      <c r="G8" s="26" t="s">
        <v>912</v>
      </c>
      <c r="H8" s="32">
        <v>446.73</v>
      </c>
      <c r="I8" s="173">
        <v>2498426</v>
      </c>
      <c r="J8" s="388">
        <v>5592.69805027645</v>
      </c>
    </row>
    <row r="9" spans="1:10" ht="13.5" customHeight="1">
      <c r="A9" s="45"/>
      <c r="B9" s="173">
        <v>7</v>
      </c>
      <c r="C9" s="26" t="s">
        <v>913</v>
      </c>
      <c r="D9" s="116">
        <v>41242</v>
      </c>
      <c r="E9" s="26" t="s">
        <v>895</v>
      </c>
      <c r="F9" s="26" t="s">
        <v>914</v>
      </c>
      <c r="G9" s="26" t="s">
        <v>915</v>
      </c>
      <c r="H9" s="32">
        <v>446.73</v>
      </c>
      <c r="I9" s="173">
        <v>2498426</v>
      </c>
      <c r="J9" s="388">
        <v>5592.69805027645</v>
      </c>
    </row>
    <row r="10" spans="1:10" ht="13.5" customHeight="1">
      <c r="A10" s="45"/>
      <c r="B10" s="173">
        <v>8</v>
      </c>
      <c r="C10" s="26" t="s">
        <v>916</v>
      </c>
      <c r="D10" s="116">
        <v>41242</v>
      </c>
      <c r="E10" s="26" t="s">
        <v>895</v>
      </c>
      <c r="F10" s="26" t="s">
        <v>917</v>
      </c>
      <c r="G10" s="26" t="s">
        <v>918</v>
      </c>
      <c r="H10" s="32">
        <v>446.73</v>
      </c>
      <c r="I10" s="173">
        <v>2498426</v>
      </c>
      <c r="J10" s="388">
        <v>5592.69805027645</v>
      </c>
    </row>
    <row r="11" spans="1:10" ht="13.5" customHeight="1">
      <c r="A11" s="45"/>
      <c r="B11" s="173">
        <v>9</v>
      </c>
      <c r="C11" s="26" t="s">
        <v>919</v>
      </c>
      <c r="D11" s="116">
        <v>41242</v>
      </c>
      <c r="E11" s="26" t="s">
        <v>920</v>
      </c>
      <c r="F11" s="26" t="s">
        <v>921</v>
      </c>
      <c r="G11" s="26" t="s">
        <v>922</v>
      </c>
      <c r="H11" s="32">
        <v>950</v>
      </c>
      <c r="I11" s="173">
        <v>4988000</v>
      </c>
      <c r="J11" s="388">
        <v>5250.5263157894697</v>
      </c>
    </row>
    <row r="12" spans="1:10" ht="13.5" customHeight="1">
      <c r="A12" s="45"/>
      <c r="B12" s="173">
        <v>10</v>
      </c>
      <c r="C12" s="26" t="s">
        <v>923</v>
      </c>
      <c r="D12" s="116">
        <v>41243</v>
      </c>
      <c r="E12" s="26" t="s">
        <v>920</v>
      </c>
      <c r="F12" s="26" t="s">
        <v>924</v>
      </c>
      <c r="G12" s="26" t="s">
        <v>925</v>
      </c>
      <c r="H12" s="32">
        <v>712.49</v>
      </c>
      <c r="I12" s="173">
        <v>3865762</v>
      </c>
      <c r="J12" s="388">
        <v>5425.7070274670496</v>
      </c>
    </row>
    <row r="13" spans="1:10" ht="13.5" customHeight="1">
      <c r="A13" s="45"/>
      <c r="B13" s="173">
        <v>11</v>
      </c>
      <c r="C13" s="26" t="s">
        <v>926</v>
      </c>
      <c r="D13" s="116">
        <v>41243</v>
      </c>
      <c r="E13" s="26" t="s">
        <v>895</v>
      </c>
      <c r="F13" s="26" t="s">
        <v>927</v>
      </c>
      <c r="G13" s="26" t="s">
        <v>928</v>
      </c>
      <c r="H13" s="32">
        <v>446.73</v>
      </c>
      <c r="I13" s="173">
        <v>2605529</v>
      </c>
      <c r="J13" s="388">
        <v>5832.4468918586199</v>
      </c>
    </row>
    <row r="14" spans="1:10" ht="13.5" customHeight="1">
      <c r="A14" s="45"/>
      <c r="B14" s="173">
        <v>12</v>
      </c>
      <c r="C14" s="26" t="s">
        <v>929</v>
      </c>
      <c r="D14" s="116">
        <v>41247</v>
      </c>
      <c r="E14" s="26" t="s">
        <v>910</v>
      </c>
      <c r="F14" s="26" t="s">
        <v>930</v>
      </c>
      <c r="G14" s="26" t="s">
        <v>931</v>
      </c>
      <c r="H14" s="32">
        <v>446.73</v>
      </c>
      <c r="I14" s="173">
        <v>2605530</v>
      </c>
      <c r="J14" s="388">
        <v>5832.4491303471896</v>
      </c>
    </row>
    <row r="15" spans="1:10" ht="13.5" customHeight="1">
      <c r="A15" s="45"/>
      <c r="B15" s="173">
        <v>13</v>
      </c>
      <c r="C15" s="26" t="s">
        <v>932</v>
      </c>
      <c r="D15" s="116">
        <v>41256</v>
      </c>
      <c r="E15" s="26" t="s">
        <v>895</v>
      </c>
      <c r="F15" s="26" t="s">
        <v>933</v>
      </c>
      <c r="G15" s="26" t="s">
        <v>934</v>
      </c>
      <c r="H15" s="32">
        <v>446.73</v>
      </c>
      <c r="I15" s="173">
        <v>2471511</v>
      </c>
      <c r="J15" s="388">
        <v>5532.4491303471896</v>
      </c>
    </row>
    <row r="16" spans="1:10" ht="13.5" customHeight="1">
      <c r="A16" s="45"/>
      <c r="B16" s="173">
        <v>14</v>
      </c>
      <c r="C16" s="26" t="s">
        <v>935</v>
      </c>
      <c r="D16" s="116">
        <v>41274</v>
      </c>
      <c r="E16" s="26" t="s">
        <v>920</v>
      </c>
      <c r="F16" s="26" t="s">
        <v>936</v>
      </c>
      <c r="G16" s="26" t="s">
        <v>937</v>
      </c>
      <c r="H16" s="32">
        <v>712.49</v>
      </c>
      <c r="I16" s="173">
        <v>4036581</v>
      </c>
      <c r="J16" s="388">
        <v>5665.4563572822099</v>
      </c>
    </row>
    <row r="17" spans="1:10" ht="13.5" customHeight="1">
      <c r="A17" s="45"/>
      <c r="B17" s="173">
        <v>15</v>
      </c>
      <c r="C17" s="26" t="s">
        <v>938</v>
      </c>
      <c r="D17" s="116">
        <v>41281</v>
      </c>
      <c r="E17" s="26" t="s">
        <v>895</v>
      </c>
      <c r="F17" s="26" t="s">
        <v>924</v>
      </c>
      <c r="G17" s="26" t="s">
        <v>939</v>
      </c>
      <c r="H17" s="32">
        <v>446.73</v>
      </c>
      <c r="I17" s="173">
        <v>2498426</v>
      </c>
      <c r="J17" s="388">
        <v>5592.69805027645</v>
      </c>
    </row>
    <row r="18" spans="1:10" ht="13.5" customHeight="1">
      <c r="A18" s="45"/>
      <c r="B18" s="173">
        <v>16</v>
      </c>
      <c r="C18" s="26" t="s">
        <v>940</v>
      </c>
      <c r="D18" s="116">
        <v>41285</v>
      </c>
      <c r="E18" s="26" t="s">
        <v>895</v>
      </c>
      <c r="F18" s="26" t="s">
        <v>941</v>
      </c>
      <c r="G18" s="26" t="s">
        <v>942</v>
      </c>
      <c r="H18" s="32">
        <v>446.73</v>
      </c>
      <c r="I18" s="173">
        <v>2498426</v>
      </c>
      <c r="J18" s="388">
        <v>5592.69805027645</v>
      </c>
    </row>
    <row r="19" spans="1:10" ht="13.5" customHeight="1">
      <c r="A19" s="45"/>
      <c r="B19" s="173">
        <v>17</v>
      </c>
      <c r="C19" s="26" t="s">
        <v>943</v>
      </c>
      <c r="D19" s="116">
        <v>41285</v>
      </c>
      <c r="E19" s="26" t="s">
        <v>910</v>
      </c>
      <c r="F19" s="26" t="s">
        <v>944</v>
      </c>
      <c r="G19" s="26" t="s">
        <v>945</v>
      </c>
      <c r="H19" s="32">
        <v>446.73</v>
      </c>
      <c r="I19" s="173">
        <v>2498426</v>
      </c>
      <c r="J19" s="388">
        <v>5592.69805027645</v>
      </c>
    </row>
    <row r="20" spans="1:10" ht="13.5" customHeight="1">
      <c r="A20" s="45"/>
      <c r="B20" s="173">
        <v>18</v>
      </c>
      <c r="C20" s="26" t="s">
        <v>946</v>
      </c>
      <c r="D20" s="116">
        <v>41285</v>
      </c>
      <c r="E20" s="26" t="s">
        <v>910</v>
      </c>
      <c r="F20" s="26" t="s">
        <v>947</v>
      </c>
      <c r="G20" s="26" t="s">
        <v>948</v>
      </c>
      <c r="H20" s="32">
        <v>446.73</v>
      </c>
      <c r="I20" s="173">
        <v>2418426</v>
      </c>
      <c r="J20" s="388">
        <v>5413.6189644751903</v>
      </c>
    </row>
    <row r="21" spans="1:10" ht="13.5" customHeight="1">
      <c r="A21" s="45"/>
      <c r="B21" s="173">
        <v>19</v>
      </c>
      <c r="C21" s="26" t="s">
        <v>949</v>
      </c>
      <c r="D21" s="116">
        <v>41286</v>
      </c>
      <c r="E21" s="26" t="s">
        <v>895</v>
      </c>
      <c r="F21" s="26" t="s">
        <v>950</v>
      </c>
      <c r="G21" s="26" t="s">
        <v>951</v>
      </c>
      <c r="H21" s="32">
        <v>446.73</v>
      </c>
      <c r="I21" s="173">
        <v>2605529</v>
      </c>
      <c r="J21" s="388">
        <v>5832.4468918586199</v>
      </c>
    </row>
    <row r="22" spans="1:10" ht="13.5" customHeight="1">
      <c r="A22" s="45"/>
      <c r="B22" s="173">
        <v>20</v>
      </c>
      <c r="C22" s="26" t="s">
        <v>952</v>
      </c>
      <c r="D22" s="116">
        <v>41286</v>
      </c>
      <c r="E22" s="26" t="s">
        <v>910</v>
      </c>
      <c r="F22" s="26" t="s">
        <v>953</v>
      </c>
      <c r="G22" s="26" t="s">
        <v>954</v>
      </c>
      <c r="H22" s="32">
        <v>446.73</v>
      </c>
      <c r="I22" s="173">
        <v>2562644</v>
      </c>
      <c r="J22" s="388">
        <v>5736.4493094262798</v>
      </c>
    </row>
    <row r="23" spans="1:10" ht="13.5" customHeight="1">
      <c r="A23" s="45"/>
      <c r="B23" s="173">
        <v>21</v>
      </c>
      <c r="C23" s="26" t="s">
        <v>955</v>
      </c>
      <c r="D23" s="116">
        <v>41288</v>
      </c>
      <c r="E23" s="26" t="s">
        <v>910</v>
      </c>
      <c r="F23" s="26" t="s">
        <v>956</v>
      </c>
      <c r="G23" s="26" t="s">
        <v>957</v>
      </c>
      <c r="H23" s="32">
        <v>446.73</v>
      </c>
      <c r="I23" s="173">
        <v>2498426</v>
      </c>
      <c r="J23" s="388">
        <v>5592.69805027645</v>
      </c>
    </row>
    <row r="24" spans="1:10" ht="13.5" customHeight="1">
      <c r="A24" s="45"/>
      <c r="B24" s="173">
        <v>22</v>
      </c>
      <c r="C24" s="26" t="s">
        <v>958</v>
      </c>
      <c r="D24" s="116">
        <v>41288</v>
      </c>
      <c r="E24" s="26" t="s">
        <v>910</v>
      </c>
      <c r="F24" s="26" t="s">
        <v>959</v>
      </c>
      <c r="G24" s="26" t="s">
        <v>960</v>
      </c>
      <c r="H24" s="32">
        <v>446.73</v>
      </c>
      <c r="I24" s="173">
        <v>2605530</v>
      </c>
      <c r="J24" s="388">
        <v>5832.4491303471896</v>
      </c>
    </row>
    <row r="25" spans="1:10" ht="13.5" customHeight="1">
      <c r="A25" s="45"/>
      <c r="B25" s="173">
        <v>23</v>
      </c>
      <c r="C25" s="26" t="s">
        <v>961</v>
      </c>
      <c r="D25" s="116">
        <v>41289</v>
      </c>
      <c r="E25" s="26" t="s">
        <v>910</v>
      </c>
      <c r="F25" s="26" t="s">
        <v>962</v>
      </c>
      <c r="G25" s="26" t="s">
        <v>963</v>
      </c>
      <c r="H25" s="32">
        <v>446.73</v>
      </c>
      <c r="I25" s="173">
        <v>2605530</v>
      </c>
      <c r="J25" s="388">
        <v>5832.4491303471896</v>
      </c>
    </row>
    <row r="26" spans="1:10" ht="13.5" customHeight="1">
      <c r="A26" s="45"/>
      <c r="B26" s="173">
        <v>24</v>
      </c>
      <c r="C26" s="26" t="s">
        <v>961</v>
      </c>
      <c r="D26" s="116">
        <v>41289</v>
      </c>
      <c r="E26" s="26" t="s">
        <v>920</v>
      </c>
      <c r="F26" s="26" t="s">
        <v>964</v>
      </c>
      <c r="G26" s="26" t="s">
        <v>965</v>
      </c>
      <c r="H26" s="32">
        <v>950</v>
      </c>
      <c r="I26" s="173">
        <v>5087750</v>
      </c>
      <c r="J26" s="388">
        <v>5355.5263157894697</v>
      </c>
    </row>
    <row r="27" spans="1:10" ht="13.5" customHeight="1">
      <c r="A27" s="45"/>
      <c r="B27" s="173">
        <v>25</v>
      </c>
      <c r="C27" s="26" t="s">
        <v>966</v>
      </c>
      <c r="D27" s="116">
        <v>41290</v>
      </c>
      <c r="E27" s="26" t="s">
        <v>910</v>
      </c>
      <c r="F27" s="26" t="s">
        <v>967</v>
      </c>
      <c r="G27" s="26" t="s">
        <v>968</v>
      </c>
      <c r="H27" s="32">
        <v>446.73</v>
      </c>
      <c r="I27" s="173">
        <v>2498426</v>
      </c>
      <c r="J27" s="388">
        <v>5592.69805027645</v>
      </c>
    </row>
    <row r="28" spans="1:10" ht="13.5" customHeight="1">
      <c r="A28" s="45"/>
      <c r="B28" s="173">
        <v>26</v>
      </c>
      <c r="C28" s="26" t="s">
        <v>969</v>
      </c>
      <c r="D28" s="116">
        <v>41293</v>
      </c>
      <c r="E28" s="26" t="s">
        <v>895</v>
      </c>
      <c r="F28" s="26" t="s">
        <v>970</v>
      </c>
      <c r="G28" s="26" t="s">
        <v>971</v>
      </c>
      <c r="H28" s="32">
        <v>446.73</v>
      </c>
      <c r="I28" s="173">
        <v>2498426</v>
      </c>
      <c r="J28" s="388">
        <v>5592.69805027645</v>
      </c>
    </row>
    <row r="29" spans="1:10" ht="13.5" customHeight="1">
      <c r="A29" s="45"/>
      <c r="B29" s="173">
        <v>27</v>
      </c>
      <c r="C29" s="26" t="s">
        <v>969</v>
      </c>
      <c r="D29" s="116">
        <v>41293</v>
      </c>
      <c r="E29" s="26" t="s">
        <v>895</v>
      </c>
      <c r="F29" s="26" t="s">
        <v>972</v>
      </c>
      <c r="G29" s="26" t="s">
        <v>973</v>
      </c>
      <c r="H29" s="32">
        <v>446.73</v>
      </c>
      <c r="I29" s="173">
        <v>2498426</v>
      </c>
      <c r="J29" s="388">
        <v>5592.69805027645</v>
      </c>
    </row>
    <row r="30" spans="1:10" ht="13.5" customHeight="1">
      <c r="A30" s="45"/>
      <c r="B30" s="173">
        <v>28</v>
      </c>
      <c r="C30" s="26" t="s">
        <v>974</v>
      </c>
      <c r="D30" s="116">
        <v>41295</v>
      </c>
      <c r="E30" s="26" t="s">
        <v>895</v>
      </c>
      <c r="F30" s="26" t="s">
        <v>975</v>
      </c>
      <c r="G30" s="26" t="s">
        <v>976</v>
      </c>
      <c r="H30" s="32">
        <v>446.73</v>
      </c>
      <c r="I30" s="173">
        <v>2605530</v>
      </c>
      <c r="J30" s="388">
        <v>5832.4491303471896</v>
      </c>
    </row>
    <row r="31" spans="1:10" ht="13.5" customHeight="1">
      <c r="A31" s="45"/>
      <c r="B31" s="173">
        <v>29</v>
      </c>
      <c r="C31" s="26" t="s">
        <v>977</v>
      </c>
      <c r="D31" s="116">
        <v>41298</v>
      </c>
      <c r="E31" s="26" t="s">
        <v>895</v>
      </c>
      <c r="F31" s="26" t="s">
        <v>978</v>
      </c>
      <c r="G31" s="26" t="s">
        <v>979</v>
      </c>
      <c r="H31" s="32">
        <v>446.73</v>
      </c>
      <c r="I31" s="173">
        <v>2605530</v>
      </c>
      <c r="J31" s="388">
        <v>5832.4491303471896</v>
      </c>
    </row>
    <row r="32" spans="1:10" ht="13.5" customHeight="1">
      <c r="A32" s="45"/>
      <c r="B32" s="173">
        <v>30</v>
      </c>
      <c r="C32" s="26" t="s">
        <v>980</v>
      </c>
      <c r="D32" s="116">
        <v>41298</v>
      </c>
      <c r="E32" s="26" t="s">
        <v>895</v>
      </c>
      <c r="F32" s="26" t="s">
        <v>981</v>
      </c>
      <c r="G32" s="26" t="s">
        <v>982</v>
      </c>
      <c r="H32" s="32">
        <v>446.73</v>
      </c>
      <c r="I32" s="173">
        <v>2616777</v>
      </c>
      <c r="J32" s="388">
        <v>5857.6254113222703</v>
      </c>
    </row>
    <row r="33" spans="1:10" ht="13.5" customHeight="1">
      <c r="A33" s="45"/>
      <c r="B33" s="173">
        <v>31</v>
      </c>
      <c r="C33" s="26" t="s">
        <v>983</v>
      </c>
      <c r="D33" s="116">
        <v>41298</v>
      </c>
      <c r="E33" s="26" t="s">
        <v>895</v>
      </c>
      <c r="F33" s="26" t="s">
        <v>984</v>
      </c>
      <c r="G33" s="26" t="s">
        <v>985</v>
      </c>
      <c r="H33" s="32">
        <v>446.73</v>
      </c>
      <c r="I33" s="173">
        <v>2509673</v>
      </c>
      <c r="J33" s="388">
        <v>5617.8743312515398</v>
      </c>
    </row>
    <row r="34" spans="1:10" ht="13.5" customHeight="1">
      <c r="A34" s="45"/>
      <c r="B34" s="173">
        <v>32</v>
      </c>
      <c r="C34" s="26" t="s">
        <v>986</v>
      </c>
      <c r="D34" s="116">
        <v>41299</v>
      </c>
      <c r="E34" s="26" t="s">
        <v>910</v>
      </c>
      <c r="F34" s="26" t="s">
        <v>907</v>
      </c>
      <c r="G34" s="26" t="s">
        <v>987</v>
      </c>
      <c r="H34" s="32">
        <v>446.73</v>
      </c>
      <c r="I34" s="173">
        <v>2605530</v>
      </c>
      <c r="J34" s="388">
        <v>5832.4491303471896</v>
      </c>
    </row>
    <row r="35" spans="1:10" ht="13.5" customHeight="1">
      <c r="A35" s="45"/>
      <c r="B35" s="173">
        <v>33</v>
      </c>
      <c r="C35" s="26" t="s">
        <v>988</v>
      </c>
      <c r="D35" s="116">
        <v>41302</v>
      </c>
      <c r="E35" s="26" t="s">
        <v>895</v>
      </c>
      <c r="F35" s="26" t="s">
        <v>989</v>
      </c>
      <c r="G35" s="26" t="s">
        <v>990</v>
      </c>
      <c r="H35" s="32">
        <v>446.73</v>
      </c>
      <c r="I35" s="173">
        <v>2498426</v>
      </c>
      <c r="J35" s="388">
        <v>5592.69805027645</v>
      </c>
    </row>
    <row r="36" spans="1:10" ht="13.5" customHeight="1">
      <c r="A36" s="45"/>
      <c r="B36" s="173">
        <v>34</v>
      </c>
      <c r="C36" s="26" t="s">
        <v>991</v>
      </c>
      <c r="D36" s="116">
        <v>41302</v>
      </c>
      <c r="E36" s="26" t="s">
        <v>910</v>
      </c>
      <c r="F36" s="26" t="s">
        <v>992</v>
      </c>
      <c r="G36" s="26" t="s">
        <v>993</v>
      </c>
      <c r="H36" s="32">
        <v>446.73</v>
      </c>
      <c r="I36" s="173">
        <v>2653927</v>
      </c>
      <c r="J36" s="388">
        <v>5940.7852617912404</v>
      </c>
    </row>
    <row r="37" spans="1:10" ht="13.5" customHeight="1">
      <c r="A37" s="45"/>
      <c r="B37" s="173">
        <v>35</v>
      </c>
      <c r="C37" s="26" t="s">
        <v>994</v>
      </c>
      <c r="D37" s="116">
        <v>41302</v>
      </c>
      <c r="E37" s="26" t="s">
        <v>910</v>
      </c>
      <c r="F37" s="26" t="s">
        <v>936</v>
      </c>
      <c r="G37" s="26" t="s">
        <v>995</v>
      </c>
      <c r="H37" s="32">
        <v>446.73</v>
      </c>
      <c r="I37" s="173">
        <v>2653927</v>
      </c>
      <c r="J37" s="388">
        <v>5940.7852617912404</v>
      </c>
    </row>
    <row r="38" spans="1:10" ht="13.5" customHeight="1">
      <c r="A38" s="45"/>
      <c r="B38" s="173">
        <v>36</v>
      </c>
      <c r="C38" s="26" t="s">
        <v>996</v>
      </c>
      <c r="D38" s="116">
        <v>41302</v>
      </c>
      <c r="E38" s="26" t="s">
        <v>910</v>
      </c>
      <c r="F38" s="26" t="s">
        <v>997</v>
      </c>
      <c r="G38" s="26" t="s">
        <v>998</v>
      </c>
      <c r="H38" s="32">
        <v>446.73</v>
      </c>
      <c r="I38" s="173">
        <v>2699343</v>
      </c>
      <c r="J38" s="388">
        <v>6042.4484588006198</v>
      </c>
    </row>
    <row r="39" spans="1:10" ht="13.5" customHeight="1">
      <c r="A39" s="45"/>
      <c r="B39" s="173">
        <v>37</v>
      </c>
      <c r="C39" s="26" t="s">
        <v>999</v>
      </c>
      <c r="D39" s="116">
        <v>41306</v>
      </c>
      <c r="E39" s="26" t="s">
        <v>910</v>
      </c>
      <c r="F39" s="26" t="s">
        <v>1000</v>
      </c>
      <c r="G39" s="26" t="s">
        <v>1001</v>
      </c>
      <c r="H39" s="32">
        <v>446.73</v>
      </c>
      <c r="I39" s="173">
        <v>2587772</v>
      </c>
      <c r="J39" s="388">
        <v>5792.69805027645</v>
      </c>
    </row>
    <row r="40" spans="1:10" ht="13.5" customHeight="1">
      <c r="A40" s="45"/>
      <c r="B40" s="173">
        <v>38</v>
      </c>
      <c r="C40" s="26" t="s">
        <v>1002</v>
      </c>
      <c r="D40" s="116">
        <v>41307</v>
      </c>
      <c r="E40" s="26" t="s">
        <v>910</v>
      </c>
      <c r="F40" s="26" t="s">
        <v>924</v>
      </c>
      <c r="G40" s="26" t="s">
        <v>1003</v>
      </c>
      <c r="H40" s="32">
        <v>446.73</v>
      </c>
      <c r="I40" s="173">
        <v>2587772</v>
      </c>
      <c r="J40" s="388">
        <v>5792.69805027645</v>
      </c>
    </row>
    <row r="41" spans="1:10" ht="13.5" customHeight="1">
      <c r="A41" s="45"/>
      <c r="B41" s="173">
        <v>39</v>
      </c>
      <c r="C41" s="26" t="s">
        <v>1004</v>
      </c>
      <c r="D41" s="116">
        <v>41309</v>
      </c>
      <c r="E41" s="26" t="s">
        <v>920</v>
      </c>
      <c r="F41" s="26" t="s">
        <v>1005</v>
      </c>
      <c r="G41" s="26" t="s">
        <v>1006</v>
      </c>
      <c r="H41" s="32">
        <v>712.49</v>
      </c>
      <c r="I41" s="173">
        <v>4186204</v>
      </c>
      <c r="J41" s="388">
        <v>5875.4564976350503</v>
      </c>
    </row>
    <row r="42" spans="1:10" ht="13.5" customHeight="1">
      <c r="A42" s="45"/>
      <c r="B42" s="173">
        <v>40</v>
      </c>
      <c r="C42" s="26" t="s">
        <v>1007</v>
      </c>
      <c r="D42" s="116">
        <v>41310</v>
      </c>
      <c r="E42" s="26" t="s">
        <v>910</v>
      </c>
      <c r="F42" s="26" t="s">
        <v>1008</v>
      </c>
      <c r="G42" s="26" t="s">
        <v>1009</v>
      </c>
      <c r="H42" s="32">
        <v>446.73</v>
      </c>
      <c r="I42" s="173">
        <v>2566356</v>
      </c>
      <c r="J42" s="388">
        <v>5744.75857900745</v>
      </c>
    </row>
    <row r="43" spans="1:10" ht="13.5" customHeight="1">
      <c r="A43" s="45"/>
      <c r="B43" s="173">
        <v>41</v>
      </c>
      <c r="C43" s="26" t="s">
        <v>1010</v>
      </c>
      <c r="D43" s="116">
        <v>41318</v>
      </c>
      <c r="E43" s="26" t="s">
        <v>910</v>
      </c>
      <c r="F43" s="26" t="s">
        <v>984</v>
      </c>
      <c r="G43" s="26" t="s">
        <v>1011</v>
      </c>
      <c r="H43" s="32">
        <v>446.73</v>
      </c>
      <c r="I43" s="173">
        <v>2348426</v>
      </c>
      <c r="J43" s="388">
        <v>5256.9247643990802</v>
      </c>
    </row>
    <row r="44" spans="1:10" ht="13.5" customHeight="1">
      <c r="A44" s="45"/>
      <c r="B44" s="173">
        <v>42</v>
      </c>
      <c r="C44" s="26" t="s">
        <v>1012</v>
      </c>
      <c r="D44" s="116">
        <v>41319</v>
      </c>
      <c r="E44" s="26" t="s">
        <v>1013</v>
      </c>
      <c r="F44" s="26" t="s">
        <v>1014</v>
      </c>
      <c r="G44" s="26" t="s">
        <v>1015</v>
      </c>
      <c r="H44" s="32">
        <v>668.48</v>
      </c>
      <c r="I44" s="173">
        <v>3639330</v>
      </c>
      <c r="J44" s="388">
        <v>5444.1868118717102</v>
      </c>
    </row>
    <row r="45" spans="1:10" ht="13.5" customHeight="1">
      <c r="A45" s="45"/>
      <c r="B45" s="173">
        <v>43</v>
      </c>
      <c r="C45" s="26" t="s">
        <v>940</v>
      </c>
      <c r="D45" s="116">
        <v>41324</v>
      </c>
      <c r="E45" s="26" t="s">
        <v>895</v>
      </c>
      <c r="F45" s="26" t="s">
        <v>997</v>
      </c>
      <c r="G45" s="26" t="s">
        <v>1016</v>
      </c>
      <c r="H45" s="32">
        <v>446.73</v>
      </c>
      <c r="I45" s="173">
        <v>2378426</v>
      </c>
      <c r="J45" s="388">
        <v>5324.07942157455</v>
      </c>
    </row>
    <row r="46" spans="1:10" ht="13.5" customHeight="1">
      <c r="A46" s="45"/>
      <c r="B46" s="173">
        <v>44</v>
      </c>
      <c r="C46" s="26" t="s">
        <v>1017</v>
      </c>
      <c r="D46" s="116">
        <v>41328</v>
      </c>
      <c r="E46" s="26" t="s">
        <v>920</v>
      </c>
      <c r="F46" s="26" t="s">
        <v>941</v>
      </c>
      <c r="G46" s="26" t="s">
        <v>1018</v>
      </c>
      <c r="H46" s="32">
        <v>712.49</v>
      </c>
      <c r="I46" s="173">
        <v>4008260</v>
      </c>
      <c r="J46" s="388">
        <v>5625.7070274670496</v>
      </c>
    </row>
    <row r="47" spans="1:10" ht="13.5" customHeight="1">
      <c r="A47" s="45"/>
      <c r="B47" s="173">
        <v>45</v>
      </c>
      <c r="C47" s="26" t="s">
        <v>1019</v>
      </c>
      <c r="D47" s="116">
        <v>41354</v>
      </c>
      <c r="E47" s="26" t="s">
        <v>1013</v>
      </c>
      <c r="F47" s="26" t="s">
        <v>911</v>
      </c>
      <c r="G47" s="26" t="s">
        <v>1020</v>
      </c>
      <c r="H47" s="32">
        <v>446.73</v>
      </c>
      <c r="I47" s="173">
        <v>2520830</v>
      </c>
      <c r="J47" s="388">
        <v>5642.8491482550999</v>
      </c>
    </row>
    <row r="48" spans="1:10" ht="13.5" customHeight="1">
      <c r="A48" s="45"/>
      <c r="B48" s="173">
        <v>46</v>
      </c>
      <c r="C48" s="26" t="s">
        <v>1021</v>
      </c>
      <c r="D48" s="116">
        <v>41358</v>
      </c>
      <c r="E48" s="26" t="s">
        <v>1013</v>
      </c>
      <c r="F48" s="26" t="s">
        <v>933</v>
      </c>
      <c r="G48" s="26" t="s">
        <v>1022</v>
      </c>
      <c r="H48" s="32">
        <v>446.73</v>
      </c>
      <c r="I48" s="173">
        <v>2677028</v>
      </c>
      <c r="J48" s="388">
        <v>5992.4965863049301</v>
      </c>
    </row>
    <row r="49" spans="1:10" ht="13.5" customHeight="1">
      <c r="A49" s="45"/>
      <c r="B49" s="173">
        <v>47</v>
      </c>
      <c r="C49" s="26" t="s">
        <v>1021</v>
      </c>
      <c r="D49" s="116">
        <v>41358</v>
      </c>
      <c r="E49" s="26" t="s">
        <v>1013</v>
      </c>
      <c r="F49" s="26" t="s">
        <v>899</v>
      </c>
      <c r="G49" s="26" t="s">
        <v>1023</v>
      </c>
      <c r="H49" s="32">
        <v>446.73</v>
      </c>
      <c r="I49" s="173">
        <v>2677029</v>
      </c>
      <c r="J49" s="388">
        <v>5992.4988247934998</v>
      </c>
    </row>
    <row r="50" spans="1:10" ht="13.5" customHeight="1">
      <c r="A50" s="45"/>
      <c r="B50" s="173">
        <v>48</v>
      </c>
      <c r="C50" s="26" t="s">
        <v>1024</v>
      </c>
      <c r="D50" s="116">
        <v>41358</v>
      </c>
      <c r="E50" s="26" t="s">
        <v>1013</v>
      </c>
      <c r="F50" s="26" t="s">
        <v>1025</v>
      </c>
      <c r="G50" s="26" t="s">
        <v>1026</v>
      </c>
      <c r="H50" s="32">
        <v>446.73</v>
      </c>
      <c r="I50" s="173">
        <v>2654580</v>
      </c>
      <c r="J50" s="388">
        <v>5942.24699482909</v>
      </c>
    </row>
    <row r="51" spans="1:10" ht="13.5" customHeight="1">
      <c r="A51" s="45"/>
      <c r="B51" s="173">
        <v>49</v>
      </c>
      <c r="C51" s="26" t="s">
        <v>1027</v>
      </c>
      <c r="D51" s="116">
        <v>41358</v>
      </c>
      <c r="E51" s="26" t="s">
        <v>1013</v>
      </c>
      <c r="F51" s="26" t="s">
        <v>1005</v>
      </c>
      <c r="G51" s="26" t="s">
        <v>1028</v>
      </c>
      <c r="H51" s="32">
        <v>446.73</v>
      </c>
      <c r="I51" s="173">
        <v>2597927</v>
      </c>
      <c r="J51" s="388">
        <v>5815.4299017303501</v>
      </c>
    </row>
    <row r="52" spans="1:10" ht="13.5" customHeight="1">
      <c r="A52" s="45"/>
      <c r="B52" s="173">
        <v>50</v>
      </c>
      <c r="C52" s="26" t="s">
        <v>1024</v>
      </c>
      <c r="D52" s="116">
        <v>41361</v>
      </c>
      <c r="E52" s="26" t="s">
        <v>1013</v>
      </c>
      <c r="F52" s="26" t="s">
        <v>978</v>
      </c>
      <c r="G52" s="26" t="s">
        <v>1029</v>
      </c>
      <c r="H52" s="32">
        <v>446.73</v>
      </c>
      <c r="I52" s="173">
        <v>2654580</v>
      </c>
      <c r="J52" s="388">
        <v>5942.24699482909</v>
      </c>
    </row>
    <row r="53" spans="1:10" ht="13.5" customHeight="1">
      <c r="A53" s="45"/>
      <c r="B53" s="173">
        <v>51</v>
      </c>
      <c r="C53" s="26" t="s">
        <v>1030</v>
      </c>
      <c r="D53" s="116">
        <v>41363</v>
      </c>
      <c r="E53" s="26" t="s">
        <v>910</v>
      </c>
      <c r="F53" s="26" t="s">
        <v>1031</v>
      </c>
      <c r="G53" s="26" t="s">
        <v>1032</v>
      </c>
      <c r="H53" s="32">
        <v>446.73</v>
      </c>
      <c r="I53" s="173">
        <v>2609997</v>
      </c>
      <c r="J53" s="388">
        <v>5842.4484588006198</v>
      </c>
    </row>
    <row r="54" spans="1:10" ht="13.5" customHeight="1">
      <c r="A54" s="45"/>
      <c r="B54" s="173">
        <v>52</v>
      </c>
      <c r="C54" s="26" t="s">
        <v>1033</v>
      </c>
      <c r="D54" s="116">
        <v>41363</v>
      </c>
      <c r="E54" s="26" t="s">
        <v>910</v>
      </c>
      <c r="F54" s="26" t="s">
        <v>981</v>
      </c>
      <c r="G54" s="26" t="s">
        <v>1034</v>
      </c>
      <c r="H54" s="32">
        <v>446.73</v>
      </c>
      <c r="I54" s="173">
        <v>2699343</v>
      </c>
      <c r="J54" s="388">
        <v>6042.4484588006198</v>
      </c>
    </row>
    <row r="55" spans="1:10" ht="13.5" customHeight="1">
      <c r="A55" s="45"/>
      <c r="B55" s="173">
        <v>53</v>
      </c>
      <c r="C55" s="26" t="s">
        <v>1035</v>
      </c>
      <c r="D55" s="116">
        <v>41363</v>
      </c>
      <c r="E55" s="26" t="s">
        <v>910</v>
      </c>
      <c r="F55" s="26" t="s">
        <v>1036</v>
      </c>
      <c r="G55" s="26" t="s">
        <v>1037</v>
      </c>
      <c r="H55" s="32">
        <v>446.73</v>
      </c>
      <c r="I55" s="173">
        <v>2456356</v>
      </c>
      <c r="J55" s="388">
        <v>5498.5248360307096</v>
      </c>
    </row>
    <row r="56" spans="1:10" ht="13.5" customHeight="1">
      <c r="A56" s="45"/>
      <c r="B56" s="173">
        <v>54</v>
      </c>
      <c r="C56" s="26" t="s">
        <v>1038</v>
      </c>
      <c r="D56" s="116">
        <v>41363</v>
      </c>
      <c r="E56" s="26" t="s">
        <v>910</v>
      </c>
      <c r="F56" s="26" t="s">
        <v>975</v>
      </c>
      <c r="G56" s="26" t="s">
        <v>1039</v>
      </c>
      <c r="H56" s="32">
        <v>446.73</v>
      </c>
      <c r="I56" s="173">
        <v>2476201</v>
      </c>
      <c r="J56" s="388">
        <v>5542.9476417522901</v>
      </c>
    </row>
    <row r="57" spans="1:10" ht="13.5" customHeight="1">
      <c r="A57" s="45"/>
      <c r="B57" s="173">
        <v>55</v>
      </c>
      <c r="C57" s="26" t="s">
        <v>1040</v>
      </c>
      <c r="D57" s="116">
        <v>41368</v>
      </c>
      <c r="E57" s="26" t="s">
        <v>1013</v>
      </c>
      <c r="F57" s="26" t="s">
        <v>1041</v>
      </c>
      <c r="G57" s="26" t="s">
        <v>1042</v>
      </c>
      <c r="H57" s="32">
        <v>446.73</v>
      </c>
      <c r="I57" s="173">
        <v>2387771</v>
      </c>
      <c r="J57" s="388">
        <v>5344.9980972847097</v>
      </c>
    </row>
    <row r="58" spans="1:10" ht="13.5" customHeight="1">
      <c r="A58" s="45"/>
      <c r="B58" s="173">
        <v>56</v>
      </c>
      <c r="C58" s="26" t="s">
        <v>1043</v>
      </c>
      <c r="D58" s="116">
        <v>41370</v>
      </c>
      <c r="E58" s="26" t="s">
        <v>895</v>
      </c>
      <c r="F58" s="26" t="s">
        <v>959</v>
      </c>
      <c r="G58" s="26" t="s">
        <v>1044</v>
      </c>
      <c r="H58" s="32">
        <v>446.73</v>
      </c>
      <c r="I58" s="173">
        <v>2498426</v>
      </c>
      <c r="J58" s="388">
        <v>5592.69805027645</v>
      </c>
    </row>
    <row r="59" spans="1:10" ht="13.5" customHeight="1">
      <c r="A59" s="45"/>
      <c r="B59" s="173">
        <v>57</v>
      </c>
      <c r="C59" s="26" t="s">
        <v>1045</v>
      </c>
      <c r="D59" s="116">
        <v>41374</v>
      </c>
      <c r="E59" s="26" t="s">
        <v>1013</v>
      </c>
      <c r="F59" s="26" t="s">
        <v>1046</v>
      </c>
      <c r="G59" s="26" t="s">
        <v>1047</v>
      </c>
      <c r="H59" s="32">
        <v>446.73</v>
      </c>
      <c r="I59" s="173">
        <v>2677029</v>
      </c>
      <c r="J59" s="388">
        <v>5992.4988247934998</v>
      </c>
    </row>
    <row r="60" spans="1:10" ht="13.5" customHeight="1">
      <c r="A60" s="45"/>
      <c r="B60" s="173">
        <v>58</v>
      </c>
      <c r="C60" s="26" t="s">
        <v>1045</v>
      </c>
      <c r="D60" s="116">
        <v>41374</v>
      </c>
      <c r="E60" s="26" t="s">
        <v>1013</v>
      </c>
      <c r="F60" s="26" t="s">
        <v>947</v>
      </c>
      <c r="G60" s="26" t="s">
        <v>1048</v>
      </c>
      <c r="H60" s="32">
        <v>446.73</v>
      </c>
      <c r="I60" s="173">
        <v>2677029</v>
      </c>
      <c r="J60" s="388">
        <v>5992.4988247934998</v>
      </c>
    </row>
    <row r="61" spans="1:10" ht="13.5" customHeight="1">
      <c r="A61" s="45"/>
      <c r="B61" s="173">
        <v>59</v>
      </c>
      <c r="C61" s="26" t="s">
        <v>1045</v>
      </c>
      <c r="D61" s="116">
        <v>41374</v>
      </c>
      <c r="E61" s="26" t="s">
        <v>1013</v>
      </c>
      <c r="F61" s="26" t="s">
        <v>959</v>
      </c>
      <c r="G61" s="26" t="s">
        <v>1049</v>
      </c>
      <c r="H61" s="32">
        <v>446.73</v>
      </c>
      <c r="I61" s="173">
        <v>2677029</v>
      </c>
      <c r="J61" s="388">
        <v>5992.4988247934998</v>
      </c>
    </row>
    <row r="62" spans="1:10" ht="13.5" customHeight="1">
      <c r="A62" s="45"/>
      <c r="B62" s="173">
        <v>60</v>
      </c>
      <c r="C62" s="26" t="s">
        <v>1045</v>
      </c>
      <c r="D62" s="116">
        <v>41374</v>
      </c>
      <c r="E62" s="26" t="s">
        <v>1013</v>
      </c>
      <c r="F62" s="26" t="s">
        <v>896</v>
      </c>
      <c r="G62" s="26" t="s">
        <v>1050</v>
      </c>
      <c r="H62" s="32">
        <v>446.73</v>
      </c>
      <c r="I62" s="173">
        <v>2677029</v>
      </c>
      <c r="J62" s="388">
        <v>5992.4988247934998</v>
      </c>
    </row>
    <row r="63" spans="1:10" ht="13.5" customHeight="1">
      <c r="A63" s="45"/>
      <c r="B63" s="173">
        <v>61</v>
      </c>
      <c r="C63" s="26" t="s">
        <v>1045</v>
      </c>
      <c r="D63" s="116">
        <v>41374</v>
      </c>
      <c r="E63" s="26" t="s">
        <v>1013</v>
      </c>
      <c r="F63" s="26" t="s">
        <v>907</v>
      </c>
      <c r="G63" s="26" t="s">
        <v>1051</v>
      </c>
      <c r="H63" s="32">
        <v>446.73</v>
      </c>
      <c r="I63" s="173">
        <v>2677029</v>
      </c>
      <c r="J63" s="388">
        <v>5992.4988247934998</v>
      </c>
    </row>
    <row r="64" spans="1:10" ht="13.5" customHeight="1">
      <c r="A64" s="45"/>
      <c r="B64" s="173">
        <v>62</v>
      </c>
      <c r="C64" s="26" t="s">
        <v>1052</v>
      </c>
      <c r="D64" s="116">
        <v>41374</v>
      </c>
      <c r="E64" s="26" t="s">
        <v>920</v>
      </c>
      <c r="F64" s="26" t="s">
        <v>1053</v>
      </c>
      <c r="G64" s="26" t="s">
        <v>1054</v>
      </c>
      <c r="H64" s="32">
        <v>712.49</v>
      </c>
      <c r="I64" s="173">
        <v>3865905</v>
      </c>
      <c r="J64" s="388">
        <v>5425.9077320383403</v>
      </c>
    </row>
    <row r="65" spans="1:10" ht="13.5" customHeight="1">
      <c r="A65" s="45"/>
      <c r="B65" s="173">
        <v>63</v>
      </c>
      <c r="C65" s="26" t="s">
        <v>913</v>
      </c>
      <c r="D65" s="116">
        <v>41375</v>
      </c>
      <c r="E65" s="26" t="s">
        <v>1013</v>
      </c>
      <c r="F65" s="26" t="s">
        <v>904</v>
      </c>
      <c r="G65" s="26" t="s">
        <v>1055</v>
      </c>
      <c r="H65" s="32">
        <v>446.73</v>
      </c>
      <c r="I65" s="173">
        <v>2699343</v>
      </c>
      <c r="J65" s="388">
        <v>6042.4484588006198</v>
      </c>
    </row>
    <row r="66" spans="1:10" ht="13.5" customHeight="1">
      <c r="A66" s="45"/>
      <c r="B66" s="173">
        <v>64</v>
      </c>
      <c r="C66" s="26" t="s">
        <v>1056</v>
      </c>
      <c r="D66" s="116">
        <v>41380</v>
      </c>
      <c r="E66" s="26" t="s">
        <v>1013</v>
      </c>
      <c r="F66" s="26" t="s">
        <v>970</v>
      </c>
      <c r="G66" s="26" t="s">
        <v>1057</v>
      </c>
      <c r="H66" s="32">
        <v>446.73</v>
      </c>
      <c r="I66" s="173">
        <v>2587771</v>
      </c>
      <c r="J66" s="388">
        <v>5792.6958117878803</v>
      </c>
    </row>
    <row r="67" spans="1:10" ht="13.5" customHeight="1">
      <c r="A67" s="45"/>
      <c r="B67" s="173">
        <v>65</v>
      </c>
      <c r="C67" s="26" t="s">
        <v>1058</v>
      </c>
      <c r="D67" s="116">
        <v>41382</v>
      </c>
      <c r="E67" s="26" t="s">
        <v>1013</v>
      </c>
      <c r="F67" s="26" t="s">
        <v>1036</v>
      </c>
      <c r="G67" s="26" t="s">
        <v>1059</v>
      </c>
      <c r="H67" s="32">
        <v>446.73</v>
      </c>
      <c r="I67" s="173">
        <v>2699343</v>
      </c>
      <c r="J67" s="388">
        <v>6042.4484588006198</v>
      </c>
    </row>
    <row r="68" spans="1:10" ht="13.5" customHeight="1">
      <c r="A68" s="45"/>
      <c r="B68" s="173">
        <v>66</v>
      </c>
      <c r="C68" s="26" t="s">
        <v>1060</v>
      </c>
      <c r="D68" s="116">
        <v>41383</v>
      </c>
      <c r="E68" s="26" t="s">
        <v>1013</v>
      </c>
      <c r="F68" s="26" t="s">
        <v>1061</v>
      </c>
      <c r="G68" s="26" t="s">
        <v>1062</v>
      </c>
      <c r="H68" s="32">
        <v>446.73</v>
      </c>
      <c r="I68" s="173">
        <v>2699343</v>
      </c>
      <c r="J68" s="388">
        <v>6042.4484588006198</v>
      </c>
    </row>
    <row r="69" spans="1:10" ht="13.5" customHeight="1">
      <c r="A69" s="45"/>
      <c r="B69" s="173">
        <v>67</v>
      </c>
      <c r="C69" s="26" t="s">
        <v>1063</v>
      </c>
      <c r="D69" s="116">
        <v>41388</v>
      </c>
      <c r="E69" s="26" t="s">
        <v>895</v>
      </c>
      <c r="F69" s="26" t="s">
        <v>1064</v>
      </c>
      <c r="G69" s="26" t="s">
        <v>1065</v>
      </c>
      <c r="H69" s="32">
        <v>446.73</v>
      </c>
      <c r="I69" s="173">
        <v>2605530</v>
      </c>
      <c r="J69" s="388">
        <v>5832.4491303471896</v>
      </c>
    </row>
    <row r="70" spans="1:10" ht="13.5" customHeight="1">
      <c r="A70" s="45"/>
      <c r="B70" s="173">
        <v>68</v>
      </c>
      <c r="C70" s="26" t="s">
        <v>1066</v>
      </c>
      <c r="D70" s="116">
        <v>41389</v>
      </c>
      <c r="E70" s="26" t="s">
        <v>895</v>
      </c>
      <c r="F70" s="26" t="s">
        <v>1067</v>
      </c>
      <c r="G70" s="26" t="s">
        <v>1068</v>
      </c>
      <c r="H70" s="32">
        <v>458.48</v>
      </c>
      <c r="I70" s="173">
        <v>2558880</v>
      </c>
      <c r="J70" s="388">
        <v>5581.2249171174299</v>
      </c>
    </row>
    <row r="71" spans="1:10" ht="13.5" customHeight="1">
      <c r="A71" s="45"/>
      <c r="B71" s="173">
        <v>69</v>
      </c>
      <c r="C71" s="26" t="s">
        <v>1012</v>
      </c>
      <c r="D71" s="116">
        <v>41400</v>
      </c>
      <c r="E71" s="26" t="s">
        <v>1013</v>
      </c>
      <c r="F71" s="26" t="s">
        <v>997</v>
      </c>
      <c r="G71" s="26" t="s">
        <v>1069</v>
      </c>
      <c r="H71" s="32">
        <v>446.73</v>
      </c>
      <c r="I71" s="173">
        <v>2498426</v>
      </c>
      <c r="J71" s="388">
        <v>5592.69805027645</v>
      </c>
    </row>
    <row r="72" spans="1:10" ht="13.5" customHeight="1">
      <c r="A72" s="45"/>
      <c r="B72" s="173">
        <v>70</v>
      </c>
      <c r="C72" s="26" t="s">
        <v>1070</v>
      </c>
      <c r="D72" s="116">
        <v>41400</v>
      </c>
      <c r="E72" s="26" t="s">
        <v>910</v>
      </c>
      <c r="F72" s="26" t="s">
        <v>1071</v>
      </c>
      <c r="G72" s="26" t="s">
        <v>1072</v>
      </c>
      <c r="H72" s="32">
        <v>446.73</v>
      </c>
      <c r="I72" s="173">
        <v>2587772</v>
      </c>
      <c r="J72" s="388">
        <v>5792.69805027645</v>
      </c>
    </row>
    <row r="73" spans="1:10" ht="13.5" customHeight="1">
      <c r="A73" s="45"/>
      <c r="B73" s="173">
        <v>71</v>
      </c>
      <c r="C73" s="26" t="s">
        <v>1073</v>
      </c>
      <c r="D73" s="116">
        <v>41409</v>
      </c>
      <c r="E73" s="26" t="s">
        <v>1013</v>
      </c>
      <c r="F73" s="26" t="s">
        <v>975</v>
      </c>
      <c r="G73" s="26" t="s">
        <v>1074</v>
      </c>
      <c r="H73" s="32">
        <v>446.73</v>
      </c>
      <c r="I73" s="173">
        <v>2342772</v>
      </c>
      <c r="J73" s="388">
        <v>5244.2683500100702</v>
      </c>
    </row>
    <row r="74" spans="1:10" ht="13.5" customHeight="1">
      <c r="A74" s="45"/>
      <c r="B74" s="173">
        <v>72</v>
      </c>
      <c r="C74" s="26" t="s">
        <v>1075</v>
      </c>
      <c r="D74" s="116">
        <v>41415</v>
      </c>
      <c r="E74" s="26" t="s">
        <v>1076</v>
      </c>
      <c r="F74" s="26" t="s">
        <v>1077</v>
      </c>
      <c r="G74" s="26" t="s">
        <v>1078</v>
      </c>
      <c r="H74" s="32">
        <v>446.73</v>
      </c>
      <c r="I74" s="173">
        <v>2587772</v>
      </c>
      <c r="J74" s="388">
        <v>5792.69805027645</v>
      </c>
    </row>
    <row r="75" spans="1:10" ht="13.5" customHeight="1">
      <c r="A75" s="45"/>
      <c r="B75" s="173">
        <v>73</v>
      </c>
      <c r="C75" s="26" t="s">
        <v>1079</v>
      </c>
      <c r="D75" s="116">
        <v>41417</v>
      </c>
      <c r="E75" s="26" t="s">
        <v>920</v>
      </c>
      <c r="F75" s="26" t="s">
        <v>992</v>
      </c>
      <c r="G75" s="26" t="s">
        <v>1080</v>
      </c>
      <c r="H75" s="32">
        <v>712.49</v>
      </c>
      <c r="I75" s="173">
        <v>4036581</v>
      </c>
      <c r="J75" s="388">
        <v>5665.4563572822099</v>
      </c>
    </row>
    <row r="76" spans="1:10" ht="13.5" customHeight="1">
      <c r="A76" s="45"/>
      <c r="B76" s="173">
        <v>74</v>
      </c>
      <c r="C76" s="26" t="s">
        <v>1081</v>
      </c>
      <c r="D76" s="116">
        <v>41422</v>
      </c>
      <c r="E76" s="26" t="s">
        <v>1013</v>
      </c>
      <c r="F76" s="26" t="s">
        <v>1000</v>
      </c>
      <c r="G76" s="26" t="s">
        <v>1082</v>
      </c>
      <c r="H76" s="32">
        <v>446.73</v>
      </c>
      <c r="I76" s="173">
        <v>2700483</v>
      </c>
      <c r="J76" s="388">
        <v>6045.0003357732903</v>
      </c>
    </row>
    <row r="77" spans="1:10" ht="13.5" customHeight="1">
      <c r="A77" s="45"/>
      <c r="B77" s="173">
        <v>75</v>
      </c>
      <c r="C77" s="26" t="s">
        <v>1083</v>
      </c>
      <c r="D77" s="116">
        <v>41430</v>
      </c>
      <c r="E77" s="26" t="s">
        <v>1013</v>
      </c>
      <c r="F77" s="26" t="s">
        <v>972</v>
      </c>
      <c r="G77" s="26" t="s">
        <v>1084</v>
      </c>
      <c r="H77" s="32">
        <v>446.73</v>
      </c>
      <c r="I77" s="173">
        <v>2587772</v>
      </c>
      <c r="J77" s="388">
        <v>5792.69805027645</v>
      </c>
    </row>
    <row r="78" spans="1:10" ht="13.5" customHeight="1">
      <c r="A78" s="45"/>
      <c r="B78" s="173">
        <v>76</v>
      </c>
      <c r="C78" s="26" t="s">
        <v>1085</v>
      </c>
      <c r="D78" s="116">
        <v>41459</v>
      </c>
      <c r="E78" s="26" t="s">
        <v>920</v>
      </c>
      <c r="F78" s="26" t="s">
        <v>1086</v>
      </c>
      <c r="G78" s="26" t="s">
        <v>1087</v>
      </c>
      <c r="H78" s="32">
        <v>950</v>
      </c>
      <c r="I78" s="173">
        <v>5277750</v>
      </c>
      <c r="J78" s="388">
        <v>5555.5263157894697</v>
      </c>
    </row>
    <row r="79" spans="1:10" ht="13.5" customHeight="1">
      <c r="A79" s="45"/>
      <c r="B79" s="173">
        <v>77</v>
      </c>
      <c r="C79" s="26" t="s">
        <v>1088</v>
      </c>
      <c r="D79" s="116">
        <v>41464</v>
      </c>
      <c r="E79" s="26" t="s">
        <v>1076</v>
      </c>
      <c r="F79" s="26" t="s">
        <v>1014</v>
      </c>
      <c r="G79" s="26" t="s">
        <v>1089</v>
      </c>
      <c r="H79" s="32">
        <v>446.73</v>
      </c>
      <c r="I79" s="173">
        <v>2587772</v>
      </c>
      <c r="J79" s="388">
        <v>5792.69805027645</v>
      </c>
    </row>
    <row r="80" spans="1:10" ht="13.5" customHeight="1">
      <c r="A80" s="45"/>
      <c r="B80" s="173">
        <v>78</v>
      </c>
      <c r="C80" s="26" t="s">
        <v>1090</v>
      </c>
      <c r="D80" s="116">
        <v>41465</v>
      </c>
      <c r="E80" s="26" t="s">
        <v>1091</v>
      </c>
      <c r="F80" s="26" t="s">
        <v>1092</v>
      </c>
      <c r="G80" s="26" t="s">
        <v>1093</v>
      </c>
      <c r="H80" s="32">
        <v>446.73</v>
      </c>
      <c r="I80" s="173">
        <v>2587772</v>
      </c>
      <c r="J80" s="388">
        <v>5792.69805027645</v>
      </c>
    </row>
    <row r="81" spans="1:10" ht="13.5" customHeight="1">
      <c r="A81" s="45"/>
      <c r="B81" s="173">
        <v>79</v>
      </c>
      <c r="C81" s="26" t="s">
        <v>1094</v>
      </c>
      <c r="D81" s="116">
        <v>41472</v>
      </c>
      <c r="E81" s="26" t="s">
        <v>1091</v>
      </c>
      <c r="F81" s="26" t="s">
        <v>1061</v>
      </c>
      <c r="G81" s="26" t="s">
        <v>1095</v>
      </c>
      <c r="H81" s="32">
        <v>446.73</v>
      </c>
      <c r="I81" s="173">
        <v>2700483</v>
      </c>
      <c r="J81" s="388">
        <v>6045.0003357732903</v>
      </c>
    </row>
    <row r="82" spans="1:10" ht="13.5" customHeight="1">
      <c r="A82" s="45"/>
      <c r="B82" s="173">
        <v>80</v>
      </c>
      <c r="C82" s="26" t="s">
        <v>1096</v>
      </c>
      <c r="D82" s="116">
        <v>41472</v>
      </c>
      <c r="E82" s="26" t="s">
        <v>1091</v>
      </c>
      <c r="F82" s="26" t="s">
        <v>1071</v>
      </c>
      <c r="G82" s="26" t="s">
        <v>1097</v>
      </c>
      <c r="H82" s="32">
        <v>446.73</v>
      </c>
      <c r="I82" s="173">
        <v>2587772</v>
      </c>
      <c r="J82" s="388">
        <v>5792.69805027645</v>
      </c>
    </row>
    <row r="83" spans="1:10" ht="13.5" customHeight="1">
      <c r="A83" s="45"/>
      <c r="B83" s="173">
        <v>81</v>
      </c>
      <c r="C83" s="26" t="s">
        <v>1098</v>
      </c>
      <c r="D83" s="116">
        <v>41480</v>
      </c>
      <c r="E83" s="26" t="s">
        <v>1099</v>
      </c>
      <c r="F83" s="26" t="s">
        <v>1100</v>
      </c>
      <c r="G83" s="26" t="s">
        <v>1101</v>
      </c>
      <c r="H83" s="32">
        <v>919.12</v>
      </c>
      <c r="I83" s="173">
        <v>7321692</v>
      </c>
      <c r="J83" s="388">
        <v>7965.9805030899097</v>
      </c>
    </row>
    <row r="84" spans="1:10" ht="13.5" customHeight="1">
      <c r="A84" s="45"/>
      <c r="B84" s="173">
        <v>82</v>
      </c>
      <c r="C84" s="26" t="s">
        <v>1102</v>
      </c>
      <c r="D84" s="116">
        <v>41489</v>
      </c>
      <c r="E84" s="26" t="s">
        <v>1076</v>
      </c>
      <c r="F84" s="26" t="s">
        <v>1103</v>
      </c>
      <c r="G84" s="26" t="s">
        <v>1104</v>
      </c>
      <c r="H84" s="32">
        <v>446.73</v>
      </c>
      <c r="I84" s="173">
        <v>2793572</v>
      </c>
      <c r="J84" s="388">
        <v>6253.3789985002104</v>
      </c>
    </row>
    <row r="85" spans="1:10" ht="13.5" customHeight="1">
      <c r="A85" s="45"/>
      <c r="B85" s="173">
        <v>83</v>
      </c>
      <c r="C85" s="26" t="s">
        <v>1105</v>
      </c>
      <c r="D85" s="116">
        <v>41493</v>
      </c>
      <c r="E85" s="26" t="s">
        <v>1013</v>
      </c>
      <c r="F85" s="26" t="s">
        <v>1106</v>
      </c>
      <c r="G85" s="26" t="s">
        <v>1107</v>
      </c>
      <c r="H85" s="32">
        <v>458.48</v>
      </c>
      <c r="I85" s="173">
        <v>2756738</v>
      </c>
      <c r="J85" s="388">
        <v>6012.7770022683599</v>
      </c>
    </row>
    <row r="86" spans="1:10" ht="13.5" customHeight="1">
      <c r="A86" s="45"/>
      <c r="B86" s="173">
        <v>84</v>
      </c>
      <c r="C86" s="26" t="s">
        <v>1108</v>
      </c>
      <c r="D86" s="116">
        <v>41516</v>
      </c>
      <c r="E86" s="26" t="s">
        <v>1109</v>
      </c>
      <c r="F86" s="26" t="s">
        <v>970</v>
      </c>
      <c r="G86" s="26" t="s">
        <v>1110</v>
      </c>
      <c r="H86" s="32">
        <v>712.49</v>
      </c>
      <c r="I86" s="173">
        <v>4185274</v>
      </c>
      <c r="J86" s="388">
        <v>5874.1512161574201</v>
      </c>
    </row>
    <row r="87" spans="1:10" ht="13.5" customHeight="1">
      <c r="A87" s="45"/>
      <c r="B87" s="173">
        <v>85</v>
      </c>
      <c r="C87" s="26" t="s">
        <v>1111</v>
      </c>
      <c r="D87" s="116">
        <v>41519</v>
      </c>
      <c r="E87" s="26" t="s">
        <v>1112</v>
      </c>
      <c r="F87" s="26" t="s">
        <v>1113</v>
      </c>
      <c r="G87" s="26" t="s">
        <v>1114</v>
      </c>
      <c r="H87" s="32">
        <v>919.12</v>
      </c>
      <c r="I87" s="173">
        <v>4696198</v>
      </c>
      <c r="J87" s="388">
        <v>5109.4503438071197</v>
      </c>
    </row>
    <row r="88" spans="1:10" ht="13.5" customHeight="1">
      <c r="A88" s="45"/>
      <c r="B88" s="173">
        <v>86</v>
      </c>
      <c r="C88" s="26" t="s">
        <v>1115</v>
      </c>
      <c r="D88" s="116">
        <v>41519</v>
      </c>
      <c r="E88" s="26" t="s">
        <v>1109</v>
      </c>
      <c r="F88" s="26" t="s">
        <v>1116</v>
      </c>
      <c r="G88" s="26" t="s">
        <v>1117</v>
      </c>
      <c r="H88" s="32">
        <v>712.49</v>
      </c>
      <c r="I88" s="173">
        <v>4809885</v>
      </c>
      <c r="J88" s="388">
        <v>6750.8105376917601</v>
      </c>
    </row>
    <row r="89" spans="1:10" ht="13.5" customHeight="1">
      <c r="A89" s="45"/>
      <c r="B89" s="173">
        <v>87</v>
      </c>
      <c r="C89" s="26" t="s">
        <v>1118</v>
      </c>
      <c r="D89" s="116">
        <v>41519</v>
      </c>
      <c r="E89" s="26" t="s">
        <v>1109</v>
      </c>
      <c r="F89" s="26" t="s">
        <v>1041</v>
      </c>
      <c r="G89" s="26" t="s">
        <v>1119</v>
      </c>
      <c r="H89" s="32">
        <v>712.49</v>
      </c>
      <c r="I89" s="173">
        <v>4809885</v>
      </c>
      <c r="J89" s="388">
        <v>6750.8105376917601</v>
      </c>
    </row>
    <row r="90" spans="1:10" ht="13.5" customHeight="1">
      <c r="A90" s="45"/>
      <c r="B90" s="173">
        <v>88</v>
      </c>
      <c r="C90" s="26" t="s">
        <v>1120</v>
      </c>
      <c r="D90" s="116">
        <v>41522</v>
      </c>
      <c r="E90" s="26" t="s">
        <v>1013</v>
      </c>
      <c r="F90" s="26" t="s">
        <v>984</v>
      </c>
      <c r="G90" s="26" t="s">
        <v>1121</v>
      </c>
      <c r="H90" s="32">
        <v>446.73</v>
      </c>
      <c r="I90" s="173">
        <v>2649601</v>
      </c>
      <c r="J90" s="388">
        <v>5931.1015602265397</v>
      </c>
    </row>
    <row r="91" spans="1:10" ht="13.5" customHeight="1">
      <c r="A91" s="45"/>
      <c r="B91" s="173">
        <v>89</v>
      </c>
      <c r="C91" s="26" t="s">
        <v>1122</v>
      </c>
      <c r="D91" s="116">
        <v>41527</v>
      </c>
      <c r="E91" s="26" t="s">
        <v>1109</v>
      </c>
      <c r="F91" s="26" t="s">
        <v>972</v>
      </c>
      <c r="G91" s="26" t="s">
        <v>1123</v>
      </c>
      <c r="H91" s="32">
        <v>712.49</v>
      </c>
      <c r="I91" s="173">
        <v>4307003</v>
      </c>
      <c r="J91" s="388">
        <v>6045.0013333520501</v>
      </c>
    </row>
    <row r="92" spans="1:10" ht="13.5" customHeight="1">
      <c r="A92" s="45"/>
      <c r="B92" s="173">
        <v>90</v>
      </c>
      <c r="C92" s="26" t="s">
        <v>1124</v>
      </c>
      <c r="D92" s="116">
        <v>41529</v>
      </c>
      <c r="E92" s="26" t="s">
        <v>920</v>
      </c>
      <c r="F92" s="26" t="s">
        <v>944</v>
      </c>
      <c r="G92" s="26" t="s">
        <v>1125</v>
      </c>
      <c r="H92" s="32">
        <v>950</v>
      </c>
      <c r="I92" s="173">
        <v>6096853</v>
      </c>
      <c r="J92" s="388">
        <v>6417.74</v>
      </c>
    </row>
    <row r="93" spans="1:10" ht="13.5" customHeight="1">
      <c r="A93" s="45"/>
      <c r="B93" s="173">
        <v>91</v>
      </c>
      <c r="C93" s="26" t="s">
        <v>1126</v>
      </c>
      <c r="D93" s="389">
        <v>41531</v>
      </c>
      <c r="E93" s="26" t="s">
        <v>1127</v>
      </c>
      <c r="F93" s="26" t="s">
        <v>1014</v>
      </c>
      <c r="G93" s="26" t="s">
        <v>1128</v>
      </c>
      <c r="H93" s="89">
        <v>297.82</v>
      </c>
      <c r="I93" s="173">
        <v>1955114</v>
      </c>
      <c r="J93" s="388">
        <v>6564.7505204485897</v>
      </c>
    </row>
    <row r="94" spans="1:10" ht="13.5" customHeight="1">
      <c r="A94" s="45"/>
      <c r="B94" s="173">
        <v>92</v>
      </c>
      <c r="C94" s="26" t="s">
        <v>1129</v>
      </c>
      <c r="D94" s="116">
        <v>41534</v>
      </c>
      <c r="E94" s="26" t="s">
        <v>1130</v>
      </c>
      <c r="F94" s="26" t="s">
        <v>1061</v>
      </c>
      <c r="G94" s="26" t="s">
        <v>1131</v>
      </c>
      <c r="H94" s="32">
        <v>446.73</v>
      </c>
      <c r="I94" s="173">
        <v>2743562</v>
      </c>
      <c r="J94" s="388">
        <v>6141.4321849887001</v>
      </c>
    </row>
    <row r="95" spans="1:10" ht="13.5" customHeight="1">
      <c r="A95" s="45"/>
      <c r="B95" s="173">
        <v>93</v>
      </c>
      <c r="C95" s="26" t="s">
        <v>1132</v>
      </c>
      <c r="D95" s="116">
        <v>41539</v>
      </c>
      <c r="E95" s="26" t="s">
        <v>1076</v>
      </c>
      <c r="F95" s="26" t="s">
        <v>1000</v>
      </c>
      <c r="G95" s="26" t="s">
        <v>1133</v>
      </c>
      <c r="H95" s="32">
        <v>446.73</v>
      </c>
      <c r="I95" s="173">
        <v>2878572</v>
      </c>
      <c r="J95" s="388">
        <v>6443.6505271640599</v>
      </c>
    </row>
    <row r="96" spans="1:10" ht="13.5" customHeight="1">
      <c r="A96" s="45"/>
      <c r="B96" s="173">
        <v>94</v>
      </c>
      <c r="C96" s="26" t="s">
        <v>1134</v>
      </c>
      <c r="D96" s="116">
        <v>41548</v>
      </c>
      <c r="E96" s="26" t="s">
        <v>1076</v>
      </c>
      <c r="F96" s="26" t="s">
        <v>1067</v>
      </c>
      <c r="G96" s="26" t="s">
        <v>1135</v>
      </c>
      <c r="H96" s="32">
        <v>446.73</v>
      </c>
      <c r="I96" s="173">
        <v>3178572</v>
      </c>
      <c r="J96" s="388">
        <v>7115.1970989188103</v>
      </c>
    </row>
    <row r="97" spans="1:10" ht="13.5" customHeight="1">
      <c r="A97" s="45"/>
      <c r="B97" s="173">
        <v>95</v>
      </c>
      <c r="C97" s="26" t="s">
        <v>1136</v>
      </c>
      <c r="D97" s="116">
        <v>41550</v>
      </c>
      <c r="E97" s="26" t="s">
        <v>1109</v>
      </c>
      <c r="F97" s="26" t="s">
        <v>1067</v>
      </c>
      <c r="G97" s="26" t="s">
        <v>1137</v>
      </c>
      <c r="H97" s="32">
        <v>731.25</v>
      </c>
      <c r="I97" s="173">
        <v>4224503</v>
      </c>
      <c r="J97" s="388">
        <v>5777.0981196581197</v>
      </c>
    </row>
    <row r="98" spans="1:10" ht="13.5" customHeight="1">
      <c r="A98" s="45"/>
      <c r="B98" s="173">
        <v>96</v>
      </c>
      <c r="C98" s="26" t="s">
        <v>1138</v>
      </c>
      <c r="D98" s="116">
        <v>41551</v>
      </c>
      <c r="E98" s="26" t="s">
        <v>1109</v>
      </c>
      <c r="F98" s="26" t="s">
        <v>1053</v>
      </c>
      <c r="G98" s="26" t="s">
        <v>1139</v>
      </c>
      <c r="H98" s="32">
        <v>712.49</v>
      </c>
      <c r="I98" s="173">
        <v>4388762</v>
      </c>
      <c r="J98" s="388">
        <v>6159.7524175777899</v>
      </c>
    </row>
    <row r="99" spans="1:10" ht="13.5" customHeight="1">
      <c r="A99" s="45"/>
      <c r="B99" s="173">
        <v>97</v>
      </c>
      <c r="C99" s="26" t="s">
        <v>1140</v>
      </c>
      <c r="D99" s="116">
        <v>41552</v>
      </c>
      <c r="E99" s="26" t="s">
        <v>1013</v>
      </c>
      <c r="F99" s="26" t="s">
        <v>901</v>
      </c>
      <c r="G99" s="26" t="s">
        <v>1141</v>
      </c>
      <c r="H99" s="32">
        <v>446.73</v>
      </c>
      <c r="I99" s="173">
        <v>2700483</v>
      </c>
      <c r="J99" s="388">
        <v>6045.0003357732903</v>
      </c>
    </row>
    <row r="100" spans="1:10" ht="13.5" customHeight="1">
      <c r="A100" s="45"/>
      <c r="B100" s="173">
        <v>98</v>
      </c>
      <c r="C100" s="26" t="s">
        <v>1142</v>
      </c>
      <c r="D100" s="116">
        <v>41565</v>
      </c>
      <c r="E100" s="26" t="s">
        <v>910</v>
      </c>
      <c r="F100" s="26" t="s">
        <v>972</v>
      </c>
      <c r="G100" s="26" t="s">
        <v>1143</v>
      </c>
      <c r="H100" s="32">
        <v>446.73</v>
      </c>
      <c r="I100" s="173">
        <v>2827689</v>
      </c>
      <c r="J100" s="388">
        <v>6329.7495131287396</v>
      </c>
    </row>
    <row r="101" spans="1:10" ht="13.5" customHeight="1">
      <c r="A101" s="45"/>
      <c r="B101" s="173">
        <v>99</v>
      </c>
      <c r="C101" s="26" t="s">
        <v>1144</v>
      </c>
      <c r="D101" s="116">
        <v>41570</v>
      </c>
      <c r="E101" s="26" t="s">
        <v>1076</v>
      </c>
      <c r="F101" s="26" t="s">
        <v>1145</v>
      </c>
      <c r="G101" s="26" t="s">
        <v>1146</v>
      </c>
      <c r="H101" s="32">
        <v>446.73</v>
      </c>
      <c r="I101" s="173">
        <v>2947838</v>
      </c>
      <c r="J101" s="388">
        <v>6598.7016766279403</v>
      </c>
    </row>
    <row r="102" spans="1:10" ht="13.5" customHeight="1">
      <c r="A102" s="45"/>
      <c r="B102" s="173">
        <v>100</v>
      </c>
      <c r="C102" s="26" t="s">
        <v>1147</v>
      </c>
      <c r="D102" s="116">
        <v>41571</v>
      </c>
      <c r="E102" s="26" t="s">
        <v>1148</v>
      </c>
      <c r="F102" s="26" t="s">
        <v>1000</v>
      </c>
      <c r="G102" s="26" t="s">
        <v>1149</v>
      </c>
      <c r="H102" s="32">
        <v>297.82</v>
      </c>
      <c r="I102" s="173">
        <v>1947668</v>
      </c>
      <c r="J102" s="388">
        <v>6539.7488415821599</v>
      </c>
    </row>
    <row r="103" spans="1:10" ht="13.5" customHeight="1">
      <c r="A103" s="45"/>
      <c r="B103" s="173">
        <v>101</v>
      </c>
      <c r="C103" s="26" t="s">
        <v>1105</v>
      </c>
      <c r="D103" s="116">
        <v>41575</v>
      </c>
      <c r="E103" s="26" t="s">
        <v>1013</v>
      </c>
      <c r="F103" s="26" t="s">
        <v>964</v>
      </c>
      <c r="G103" s="26" t="s">
        <v>1150</v>
      </c>
      <c r="H103" s="32">
        <v>446.73</v>
      </c>
      <c r="I103" s="173">
        <v>2691212</v>
      </c>
      <c r="J103" s="388">
        <v>6024.2473082174902</v>
      </c>
    </row>
    <row r="104" spans="1:10" ht="13.5" customHeight="1">
      <c r="A104" s="45"/>
      <c r="B104" s="173">
        <v>102</v>
      </c>
      <c r="C104" s="26" t="s">
        <v>1142</v>
      </c>
      <c r="D104" s="116">
        <v>41575</v>
      </c>
      <c r="E104" s="26" t="s">
        <v>1130</v>
      </c>
      <c r="F104" s="26" t="s">
        <v>1071</v>
      </c>
      <c r="G104" s="26" t="s">
        <v>1151</v>
      </c>
      <c r="H104" s="32">
        <v>446.73</v>
      </c>
      <c r="I104" s="173">
        <v>2827689</v>
      </c>
      <c r="J104" s="388">
        <v>6329.7495131287396</v>
      </c>
    </row>
    <row r="105" spans="1:10" ht="13.5" customHeight="1">
      <c r="A105" s="45"/>
      <c r="B105" s="173">
        <v>103</v>
      </c>
      <c r="C105" s="26" t="s">
        <v>1152</v>
      </c>
      <c r="D105" s="116">
        <v>41575</v>
      </c>
      <c r="E105" s="26" t="s">
        <v>1130</v>
      </c>
      <c r="F105" s="26" t="s">
        <v>911</v>
      </c>
      <c r="G105" s="26" t="s">
        <v>1153</v>
      </c>
      <c r="H105" s="32">
        <v>446.73</v>
      </c>
      <c r="I105" s="173">
        <v>2921504</v>
      </c>
      <c r="J105" s="388">
        <v>6539.7533185593102</v>
      </c>
    </row>
    <row r="106" spans="1:10" ht="13.5" customHeight="1">
      <c r="A106" s="45"/>
      <c r="B106" s="173">
        <v>104</v>
      </c>
      <c r="C106" s="26" t="s">
        <v>1154</v>
      </c>
      <c r="D106" s="116">
        <v>41586</v>
      </c>
      <c r="E106" s="26" t="s">
        <v>1109</v>
      </c>
      <c r="F106" s="26" t="s">
        <v>924</v>
      </c>
      <c r="G106" s="26" t="s">
        <v>1155</v>
      </c>
      <c r="H106" s="32">
        <v>712.49</v>
      </c>
      <c r="I106" s="173">
        <v>4509885</v>
      </c>
      <c r="J106" s="388">
        <v>6329.7519965192496</v>
      </c>
    </row>
    <row r="107" spans="1:10" ht="13.5" customHeight="1">
      <c r="A107" s="45"/>
      <c r="B107" s="173">
        <v>105</v>
      </c>
      <c r="C107" s="26" t="s">
        <v>1156</v>
      </c>
      <c r="D107" s="116">
        <v>41587</v>
      </c>
      <c r="E107" s="26" t="s">
        <v>1091</v>
      </c>
      <c r="F107" s="26" t="s">
        <v>1157</v>
      </c>
      <c r="G107" s="26" t="s">
        <v>1158</v>
      </c>
      <c r="H107" s="32">
        <v>446.73</v>
      </c>
      <c r="I107" s="173">
        <v>2947837</v>
      </c>
      <c r="J107" s="388">
        <v>6598.6994381393697</v>
      </c>
    </row>
    <row r="108" spans="1:10" ht="13.5" customHeight="1">
      <c r="A108" s="45"/>
      <c r="B108" s="173">
        <v>106</v>
      </c>
      <c r="C108" s="26" t="s">
        <v>1159</v>
      </c>
      <c r="D108" s="116">
        <v>41587</v>
      </c>
      <c r="E108" s="26" t="s">
        <v>1091</v>
      </c>
      <c r="F108" s="26" t="s">
        <v>1160</v>
      </c>
      <c r="G108" s="26" t="s">
        <v>1161</v>
      </c>
      <c r="H108" s="32">
        <v>446.73</v>
      </c>
      <c r="I108" s="173">
        <v>2947837</v>
      </c>
      <c r="J108" s="388">
        <v>6598.6994381393697</v>
      </c>
    </row>
    <row r="109" spans="1:10" ht="13.5" customHeight="1">
      <c r="A109" s="45"/>
      <c r="B109" s="173">
        <v>107</v>
      </c>
      <c r="C109" s="26" t="s">
        <v>1156</v>
      </c>
      <c r="D109" s="116">
        <v>41587</v>
      </c>
      <c r="E109" s="26" t="s">
        <v>920</v>
      </c>
      <c r="F109" s="26" t="s">
        <v>911</v>
      </c>
      <c r="G109" s="26" t="s">
        <v>1162</v>
      </c>
      <c r="H109" s="32">
        <v>712.49</v>
      </c>
      <c r="I109" s="173">
        <v>4449501</v>
      </c>
      <c r="J109" s="388">
        <v>6245.0013333520501</v>
      </c>
    </row>
    <row r="110" spans="1:10" ht="13.5" customHeight="1">
      <c r="A110" s="45"/>
      <c r="B110" s="173">
        <v>108</v>
      </c>
      <c r="C110" s="26" t="s">
        <v>1163</v>
      </c>
      <c r="D110" s="116">
        <v>41589</v>
      </c>
      <c r="E110" s="26" t="s">
        <v>1099</v>
      </c>
      <c r="F110" s="26" t="s">
        <v>1164</v>
      </c>
      <c r="G110" s="26" t="s">
        <v>1165</v>
      </c>
      <c r="H110" s="32">
        <v>919.12</v>
      </c>
      <c r="I110" s="173">
        <v>8121692</v>
      </c>
      <c r="J110" s="388">
        <v>8836.3782748716203</v>
      </c>
    </row>
    <row r="111" spans="1:10" ht="13.5" customHeight="1">
      <c r="A111" s="45"/>
      <c r="B111" s="173">
        <v>109</v>
      </c>
      <c r="C111" s="26" t="s">
        <v>1166</v>
      </c>
      <c r="D111" s="116">
        <v>41593</v>
      </c>
      <c r="E111" s="26" t="s">
        <v>1148</v>
      </c>
      <c r="F111" s="26" t="s">
        <v>941</v>
      </c>
      <c r="G111" s="26" t="s">
        <v>1167</v>
      </c>
      <c r="H111" s="32">
        <v>297.82</v>
      </c>
      <c r="I111" s="173">
        <v>1859886</v>
      </c>
      <c r="J111" s="388">
        <v>6245.0003357732903</v>
      </c>
    </row>
    <row r="112" spans="1:10" ht="13.5" customHeight="1">
      <c r="A112" s="45"/>
      <c r="B112" s="173">
        <v>110</v>
      </c>
      <c r="C112" s="26" t="s">
        <v>1168</v>
      </c>
      <c r="D112" s="116">
        <v>41594</v>
      </c>
      <c r="E112" s="26" t="s">
        <v>1076</v>
      </c>
      <c r="F112" s="26" t="s">
        <v>1041</v>
      </c>
      <c r="G112" s="26" t="s">
        <v>1169</v>
      </c>
      <c r="H112" s="32">
        <v>446.73</v>
      </c>
      <c r="I112" s="173">
        <v>3076807</v>
      </c>
      <c r="J112" s="388">
        <v>6887.3973093367404</v>
      </c>
    </row>
    <row r="113" spans="1:10" ht="13.5" customHeight="1">
      <c r="A113" s="45"/>
      <c r="B113" s="173">
        <v>111</v>
      </c>
      <c r="C113" s="26" t="s">
        <v>1170</v>
      </c>
      <c r="D113" s="116">
        <v>41599</v>
      </c>
      <c r="E113" s="26" t="s">
        <v>1127</v>
      </c>
      <c r="F113" s="26" t="s">
        <v>1005</v>
      </c>
      <c r="G113" s="26" t="s">
        <v>1171</v>
      </c>
      <c r="H113" s="32">
        <v>297.82</v>
      </c>
      <c r="I113" s="173">
        <v>1947668</v>
      </c>
      <c r="J113" s="388">
        <v>6539.7488415821599</v>
      </c>
    </row>
    <row r="114" spans="1:10" ht="13.5" customHeight="1">
      <c r="A114" s="45"/>
      <c r="B114" s="173">
        <v>112</v>
      </c>
      <c r="C114" s="26" t="s">
        <v>1172</v>
      </c>
      <c r="D114" s="116">
        <v>41605</v>
      </c>
      <c r="E114" s="26" t="s">
        <v>1173</v>
      </c>
      <c r="F114" s="26" t="s">
        <v>911</v>
      </c>
      <c r="G114" s="26" t="s">
        <v>1174</v>
      </c>
      <c r="H114" s="32">
        <v>446.73</v>
      </c>
      <c r="I114" s="173">
        <v>2537836</v>
      </c>
      <c r="J114" s="388">
        <v>5680.9168849193002</v>
      </c>
    </row>
    <row r="115" spans="1:10" ht="13.5" customHeight="1">
      <c r="A115" s="45"/>
      <c r="B115" s="173">
        <v>113</v>
      </c>
      <c r="C115" s="26" t="s">
        <v>1175</v>
      </c>
      <c r="D115" s="116">
        <v>41608</v>
      </c>
      <c r="E115" s="26" t="s">
        <v>1013</v>
      </c>
      <c r="F115" s="26" t="s">
        <v>917</v>
      </c>
      <c r="G115" s="26" t="s">
        <v>1176</v>
      </c>
      <c r="H115" s="32">
        <v>446.73</v>
      </c>
      <c r="I115" s="173">
        <v>2974172</v>
      </c>
      <c r="J115" s="388">
        <v>6657.6500346965704</v>
      </c>
    </row>
    <row r="116" spans="1:10" ht="13.5" customHeight="1">
      <c r="A116" s="45"/>
      <c r="B116" s="173">
        <v>114</v>
      </c>
      <c r="C116" s="26" t="s">
        <v>1177</v>
      </c>
      <c r="D116" s="116">
        <v>41610</v>
      </c>
      <c r="E116" s="26" t="s">
        <v>920</v>
      </c>
      <c r="F116" s="26" t="s">
        <v>1000</v>
      </c>
      <c r="G116" s="26" t="s">
        <v>1178</v>
      </c>
      <c r="H116" s="32">
        <v>712.49</v>
      </c>
      <c r="I116" s="173">
        <v>4043706</v>
      </c>
      <c r="J116" s="388">
        <v>5675.4564976350503</v>
      </c>
    </row>
    <row r="117" spans="1:10" ht="13.5" customHeight="1">
      <c r="A117" s="45"/>
      <c r="B117" s="173">
        <v>115</v>
      </c>
      <c r="C117" s="26" t="s">
        <v>1179</v>
      </c>
      <c r="D117" s="116">
        <v>41612</v>
      </c>
      <c r="E117" s="26" t="s">
        <v>895</v>
      </c>
      <c r="F117" s="26" t="s">
        <v>1046</v>
      </c>
      <c r="G117" s="26" t="s">
        <v>1180</v>
      </c>
      <c r="H117" s="32">
        <v>446.73</v>
      </c>
      <c r="I117" s="173">
        <v>2700483</v>
      </c>
      <c r="J117" s="388">
        <v>6045.0003357732903</v>
      </c>
    </row>
    <row r="118" spans="1:10" ht="13.5" customHeight="1">
      <c r="A118" s="45"/>
      <c r="B118" s="173">
        <v>116</v>
      </c>
      <c r="C118" s="26" t="s">
        <v>1181</v>
      </c>
      <c r="D118" s="116">
        <v>41621</v>
      </c>
      <c r="E118" s="26" t="s">
        <v>1109</v>
      </c>
      <c r="F118" s="26" t="s">
        <v>941</v>
      </c>
      <c r="G118" s="26" t="s">
        <v>1182</v>
      </c>
      <c r="H118" s="32">
        <v>712.49</v>
      </c>
      <c r="I118" s="173">
        <v>4509885</v>
      </c>
      <c r="J118" s="388">
        <v>6329.7519965192496</v>
      </c>
    </row>
    <row r="119" spans="1:10" ht="13.5" customHeight="1">
      <c r="A119" s="45"/>
      <c r="B119" s="173">
        <v>117</v>
      </c>
      <c r="C119" s="26" t="s">
        <v>1183</v>
      </c>
      <c r="D119" s="116">
        <v>41627</v>
      </c>
      <c r="E119" s="26" t="s">
        <v>1148</v>
      </c>
      <c r="F119" s="26" t="s">
        <v>1071</v>
      </c>
      <c r="G119" s="26" t="s">
        <v>1184</v>
      </c>
      <c r="H119" s="32">
        <v>297.82</v>
      </c>
      <c r="I119" s="173">
        <v>1842329</v>
      </c>
      <c r="J119" s="388">
        <v>6186.0486199717998</v>
      </c>
    </row>
    <row r="120" spans="1:10" ht="13.5" customHeight="1">
      <c r="A120" s="45"/>
      <c r="B120" s="173">
        <v>118</v>
      </c>
      <c r="C120" s="26" t="s">
        <v>1185</v>
      </c>
      <c r="D120" s="116">
        <v>41632</v>
      </c>
      <c r="E120" s="26" t="s">
        <v>1148</v>
      </c>
      <c r="F120" s="26" t="s">
        <v>1061</v>
      </c>
      <c r="G120" s="26" t="s">
        <v>1186</v>
      </c>
      <c r="H120" s="32">
        <v>297.82</v>
      </c>
      <c r="I120" s="173">
        <v>1842329</v>
      </c>
      <c r="J120" s="388">
        <v>6186.0486199717998</v>
      </c>
    </row>
    <row r="121" spans="1:10" ht="13.5" customHeight="1">
      <c r="A121" s="45"/>
      <c r="B121" s="173">
        <v>119</v>
      </c>
      <c r="C121" s="26" t="s">
        <v>1187</v>
      </c>
      <c r="D121" s="116">
        <v>41641</v>
      </c>
      <c r="E121" s="26" t="s">
        <v>1173</v>
      </c>
      <c r="F121" s="26" t="s">
        <v>956</v>
      </c>
      <c r="G121" s="26" t="s">
        <v>1188</v>
      </c>
      <c r="H121" s="32">
        <v>446.73</v>
      </c>
      <c r="I121" s="173">
        <v>2802862</v>
      </c>
      <c r="J121" s="388">
        <v>6274.1745573388798</v>
      </c>
    </row>
    <row r="122" spans="1:10" ht="13.5" customHeight="1">
      <c r="A122" s="45"/>
      <c r="B122" s="173">
        <v>120</v>
      </c>
      <c r="C122" s="26" t="s">
        <v>1189</v>
      </c>
      <c r="D122" s="116">
        <v>41641</v>
      </c>
      <c r="E122" s="26" t="s">
        <v>1148</v>
      </c>
      <c r="F122" s="26" t="s">
        <v>1014</v>
      </c>
      <c r="G122" s="26" t="s">
        <v>1190</v>
      </c>
      <c r="H122" s="32">
        <v>297.82</v>
      </c>
      <c r="I122" s="173">
        <v>1798438</v>
      </c>
      <c r="J122" s="388">
        <v>6038.6743670673604</v>
      </c>
    </row>
    <row r="123" spans="1:10" ht="13.5" customHeight="1">
      <c r="A123" s="45"/>
      <c r="B123" s="173">
        <v>121</v>
      </c>
      <c r="C123" s="26" t="s">
        <v>1191</v>
      </c>
      <c r="D123" s="116">
        <v>41644</v>
      </c>
      <c r="E123" s="26" t="s">
        <v>1148</v>
      </c>
      <c r="F123" s="26" t="s">
        <v>1064</v>
      </c>
      <c r="G123" s="26" t="s">
        <v>1192</v>
      </c>
      <c r="H123" s="32">
        <v>297.82</v>
      </c>
      <c r="I123" s="173">
        <v>1982781</v>
      </c>
      <c r="J123" s="388">
        <v>6657.6489154522897</v>
      </c>
    </row>
    <row r="124" spans="1:10" ht="13.5" customHeight="1">
      <c r="A124" s="45"/>
      <c r="B124" s="173">
        <v>122</v>
      </c>
      <c r="C124" s="26" t="s">
        <v>1193</v>
      </c>
      <c r="D124" s="116">
        <v>41645</v>
      </c>
      <c r="E124" s="26" t="s">
        <v>1127</v>
      </c>
      <c r="F124" s="26" t="s">
        <v>911</v>
      </c>
      <c r="G124" s="26" t="s">
        <v>1194</v>
      </c>
      <c r="H124" s="32">
        <v>297.82</v>
      </c>
      <c r="I124" s="173">
        <v>1772104</v>
      </c>
      <c r="J124" s="388">
        <v>5950.2518299644098</v>
      </c>
    </row>
    <row r="125" spans="1:10" ht="13.5" customHeight="1">
      <c r="A125" s="45"/>
      <c r="B125" s="173">
        <v>123</v>
      </c>
      <c r="C125" s="26" t="s">
        <v>1195</v>
      </c>
      <c r="D125" s="116">
        <v>41649</v>
      </c>
      <c r="E125" s="26" t="s">
        <v>1148</v>
      </c>
      <c r="F125" s="26" t="s">
        <v>1196</v>
      </c>
      <c r="G125" s="26" t="s">
        <v>1197</v>
      </c>
      <c r="H125" s="32">
        <v>297.82</v>
      </c>
      <c r="I125" s="173">
        <v>1859237</v>
      </c>
      <c r="J125" s="388">
        <v>6242.8211671479403</v>
      </c>
    </row>
    <row r="126" spans="1:10" ht="13.5" customHeight="1">
      <c r="A126" s="45"/>
      <c r="B126" s="173">
        <v>124</v>
      </c>
      <c r="C126" s="26" t="s">
        <v>1198</v>
      </c>
      <c r="D126" s="389">
        <v>41649</v>
      </c>
      <c r="E126" s="26" t="s">
        <v>1173</v>
      </c>
      <c r="F126" s="26" t="s">
        <v>975</v>
      </c>
      <c r="G126" s="26" t="s">
        <v>1199</v>
      </c>
      <c r="H126" s="89">
        <v>446.73</v>
      </c>
      <c r="I126" s="173">
        <v>2921504</v>
      </c>
      <c r="J126" s="388">
        <v>6539.7533185593102</v>
      </c>
    </row>
    <row r="127" spans="1:10" ht="13.5" customHeight="1">
      <c r="A127" s="45"/>
      <c r="B127" s="173">
        <v>125</v>
      </c>
      <c r="C127" s="26" t="s">
        <v>1200</v>
      </c>
      <c r="D127" s="116">
        <v>41654</v>
      </c>
      <c r="E127" s="26" t="s">
        <v>1127</v>
      </c>
      <c r="F127" s="26" t="s">
        <v>972</v>
      </c>
      <c r="G127" s="26" t="s">
        <v>1201</v>
      </c>
      <c r="H127" s="32">
        <v>297.82</v>
      </c>
      <c r="I127" s="173">
        <v>1921333</v>
      </c>
      <c r="J127" s="388">
        <v>6451.3229467463598</v>
      </c>
    </row>
    <row r="128" spans="1:10" ht="13.5" customHeight="1">
      <c r="A128" s="45"/>
      <c r="B128" s="173">
        <v>126</v>
      </c>
      <c r="C128" s="26" t="s">
        <v>1156</v>
      </c>
      <c r="D128" s="116">
        <v>41657</v>
      </c>
      <c r="E128" s="26" t="s">
        <v>1099</v>
      </c>
      <c r="F128" s="26" t="s">
        <v>1113</v>
      </c>
      <c r="G128" s="26" t="s">
        <v>1202</v>
      </c>
      <c r="H128" s="32">
        <v>919.12</v>
      </c>
      <c r="I128" s="173">
        <v>8121692</v>
      </c>
      <c r="J128" s="388">
        <v>8836.3782748716203</v>
      </c>
    </row>
    <row r="129" spans="1:10" ht="13.5" customHeight="1">
      <c r="A129" s="45"/>
      <c r="B129" s="173">
        <v>127</v>
      </c>
      <c r="C129" s="26" t="s">
        <v>1203</v>
      </c>
      <c r="D129" s="116">
        <v>41657</v>
      </c>
      <c r="E129" s="26" t="s">
        <v>1173</v>
      </c>
      <c r="F129" s="26" t="s">
        <v>1204</v>
      </c>
      <c r="G129" s="26" t="s">
        <v>1205</v>
      </c>
      <c r="H129" s="32">
        <v>446.73</v>
      </c>
      <c r="I129" s="173">
        <v>2658156</v>
      </c>
      <c r="J129" s="388">
        <v>5950.2518299644098</v>
      </c>
    </row>
    <row r="130" spans="1:10" ht="13.5" customHeight="1">
      <c r="A130" s="45"/>
      <c r="B130" s="173">
        <v>128</v>
      </c>
      <c r="C130" s="26" t="s">
        <v>1206</v>
      </c>
      <c r="D130" s="116">
        <v>41657</v>
      </c>
      <c r="E130" s="26" t="s">
        <v>1173</v>
      </c>
      <c r="F130" s="26" t="s">
        <v>1145</v>
      </c>
      <c r="G130" s="26" t="s">
        <v>1207</v>
      </c>
      <c r="H130" s="32">
        <v>446.73</v>
      </c>
      <c r="I130" s="173">
        <v>2842499</v>
      </c>
      <c r="J130" s="388">
        <v>6362.9015288876899</v>
      </c>
    </row>
    <row r="131" spans="1:10" ht="13.5" customHeight="1">
      <c r="A131" s="45"/>
      <c r="B131" s="173">
        <v>129</v>
      </c>
      <c r="C131" s="26" t="s">
        <v>1208</v>
      </c>
      <c r="D131" s="116">
        <v>41657</v>
      </c>
      <c r="E131" s="26" t="s">
        <v>1127</v>
      </c>
      <c r="F131" s="26" t="s">
        <v>981</v>
      </c>
      <c r="G131" s="26" t="s">
        <v>1209</v>
      </c>
      <c r="H131" s="32">
        <v>297.82</v>
      </c>
      <c r="I131" s="173">
        <v>1947668</v>
      </c>
      <c r="J131" s="388">
        <v>6539.7488415821599</v>
      </c>
    </row>
    <row r="132" spans="1:10" ht="13.5" customHeight="1">
      <c r="A132" s="45"/>
      <c r="B132" s="173">
        <v>130</v>
      </c>
      <c r="C132" s="26" t="s">
        <v>1210</v>
      </c>
      <c r="D132" s="116">
        <v>41659</v>
      </c>
      <c r="E132" s="26" t="s">
        <v>1148</v>
      </c>
      <c r="F132" s="26" t="s">
        <v>978</v>
      </c>
      <c r="G132" s="26" t="s">
        <v>1211</v>
      </c>
      <c r="H132" s="32">
        <v>297.82</v>
      </c>
      <c r="I132" s="173">
        <v>1782780</v>
      </c>
      <c r="J132" s="388">
        <v>5986.0989859646797</v>
      </c>
    </row>
    <row r="133" spans="1:10" ht="13.5" customHeight="1">
      <c r="A133" s="45"/>
      <c r="B133" s="173">
        <v>131</v>
      </c>
      <c r="C133" s="26" t="s">
        <v>1212</v>
      </c>
      <c r="D133" s="116">
        <v>41660</v>
      </c>
      <c r="E133" s="26" t="s">
        <v>1148</v>
      </c>
      <c r="F133" s="26" t="s">
        <v>981</v>
      </c>
      <c r="G133" s="26" t="s">
        <v>1213</v>
      </c>
      <c r="H133" s="32">
        <v>297.82</v>
      </c>
      <c r="I133" s="173">
        <v>1859886</v>
      </c>
      <c r="J133" s="388">
        <v>6245.0003357732903</v>
      </c>
    </row>
    <row r="134" spans="1:10" ht="13.5" customHeight="1">
      <c r="A134" s="45"/>
      <c r="B134" s="173">
        <v>132</v>
      </c>
      <c r="C134" s="26" t="s">
        <v>1214</v>
      </c>
      <c r="D134" s="116">
        <v>41666</v>
      </c>
      <c r="E134" s="26" t="s">
        <v>1127</v>
      </c>
      <c r="F134" s="26" t="s">
        <v>899</v>
      </c>
      <c r="G134" s="26" t="s">
        <v>1215</v>
      </c>
      <c r="H134" s="32">
        <v>297.82</v>
      </c>
      <c r="I134" s="173">
        <v>2053007</v>
      </c>
      <c r="J134" s="388">
        <v>6893.44906319253</v>
      </c>
    </row>
    <row r="135" spans="1:10" ht="13.5" customHeight="1">
      <c r="A135" s="45"/>
      <c r="B135" s="173">
        <v>133</v>
      </c>
      <c r="C135" s="26" t="s">
        <v>1216</v>
      </c>
      <c r="D135" s="116">
        <v>41671</v>
      </c>
      <c r="E135" s="26" t="s">
        <v>1148</v>
      </c>
      <c r="F135" s="26" t="s">
        <v>984</v>
      </c>
      <c r="G135" s="26" t="s">
        <v>1217</v>
      </c>
      <c r="H135" s="32">
        <v>297.82</v>
      </c>
      <c r="I135" s="173">
        <v>1859886</v>
      </c>
      <c r="J135" s="388">
        <v>6245.0003357732903</v>
      </c>
    </row>
    <row r="136" spans="1:10" ht="13.5" customHeight="1">
      <c r="A136" s="45"/>
      <c r="B136" s="173">
        <v>134</v>
      </c>
      <c r="C136" s="26" t="s">
        <v>1218</v>
      </c>
      <c r="D136" s="116">
        <v>41677</v>
      </c>
      <c r="E136" s="26" t="s">
        <v>1127</v>
      </c>
      <c r="F136" s="26" t="s">
        <v>984</v>
      </c>
      <c r="G136" s="26" t="s">
        <v>1219</v>
      </c>
      <c r="H136" s="32">
        <v>297.82</v>
      </c>
      <c r="I136" s="173">
        <v>1824772</v>
      </c>
      <c r="J136" s="388">
        <v>6127.0969041703001</v>
      </c>
    </row>
    <row r="137" spans="1:10" ht="13.5" customHeight="1">
      <c r="A137" s="45"/>
      <c r="B137" s="173">
        <v>135</v>
      </c>
      <c r="C137" s="26" t="s">
        <v>1220</v>
      </c>
      <c r="D137" s="116">
        <v>41677</v>
      </c>
      <c r="E137" s="26" t="s">
        <v>1148</v>
      </c>
      <c r="F137" s="26" t="s">
        <v>933</v>
      </c>
      <c r="G137" s="26" t="s">
        <v>1221</v>
      </c>
      <c r="H137" s="32">
        <v>297.82</v>
      </c>
      <c r="I137" s="173">
        <v>2053007</v>
      </c>
      <c r="J137" s="388">
        <v>6893.44906319253</v>
      </c>
    </row>
    <row r="138" spans="1:10" ht="13.5" customHeight="1">
      <c r="A138" s="45"/>
      <c r="B138" s="173">
        <v>136</v>
      </c>
      <c r="C138" s="26" t="s">
        <v>1222</v>
      </c>
      <c r="D138" s="116">
        <v>41684</v>
      </c>
      <c r="E138" s="26" t="s">
        <v>1173</v>
      </c>
      <c r="F138" s="26" t="s">
        <v>1116</v>
      </c>
      <c r="G138" s="26" t="s">
        <v>1223</v>
      </c>
      <c r="H138" s="32">
        <v>446.73</v>
      </c>
      <c r="I138" s="173">
        <v>2656356</v>
      </c>
      <c r="J138" s="388">
        <v>5946.2225505338802</v>
      </c>
    </row>
    <row r="139" spans="1:10" ht="13.5" customHeight="1">
      <c r="A139" s="45"/>
      <c r="B139" s="173">
        <v>137</v>
      </c>
      <c r="C139" s="26" t="s">
        <v>1224</v>
      </c>
      <c r="D139" s="116">
        <v>41703</v>
      </c>
      <c r="E139" s="26" t="s">
        <v>1173</v>
      </c>
      <c r="F139" s="26" t="s">
        <v>1160</v>
      </c>
      <c r="G139" s="26" t="s">
        <v>1225</v>
      </c>
      <c r="H139" s="32">
        <v>446.73</v>
      </c>
      <c r="I139" s="173">
        <v>3146356</v>
      </c>
      <c r="J139" s="388">
        <v>7043.0819510666397</v>
      </c>
    </row>
    <row r="140" spans="1:10" ht="13.5" customHeight="1">
      <c r="A140" s="45"/>
      <c r="B140" s="173">
        <v>138</v>
      </c>
      <c r="C140" s="26" t="s">
        <v>1224</v>
      </c>
      <c r="D140" s="116">
        <v>41703</v>
      </c>
      <c r="E140" s="26" t="s">
        <v>1173</v>
      </c>
      <c r="F140" s="26" t="s">
        <v>1226</v>
      </c>
      <c r="G140" s="26" t="s">
        <v>1227</v>
      </c>
      <c r="H140" s="32">
        <v>446.73</v>
      </c>
      <c r="I140" s="173">
        <v>3146356</v>
      </c>
      <c r="J140" s="388">
        <v>7043.0819510666397</v>
      </c>
    </row>
    <row r="141" spans="1:10" ht="13.5" customHeight="1">
      <c r="A141" s="45"/>
      <c r="B141" s="173">
        <v>139</v>
      </c>
      <c r="C141" s="26" t="s">
        <v>1224</v>
      </c>
      <c r="D141" s="116">
        <v>41703</v>
      </c>
      <c r="E141" s="26" t="s">
        <v>1148</v>
      </c>
      <c r="F141" s="26" t="s">
        <v>927</v>
      </c>
      <c r="G141" s="26" t="s">
        <v>1228</v>
      </c>
      <c r="H141" s="32">
        <v>297.82</v>
      </c>
      <c r="I141" s="173">
        <v>1982781</v>
      </c>
      <c r="J141" s="388">
        <v>6657.6489154522897</v>
      </c>
    </row>
    <row r="142" spans="1:10" ht="13.5" customHeight="1">
      <c r="A142" s="45"/>
      <c r="B142" s="173">
        <v>140</v>
      </c>
      <c r="C142" s="26" t="s">
        <v>1224</v>
      </c>
      <c r="D142" s="116">
        <v>41703</v>
      </c>
      <c r="E142" s="26" t="s">
        <v>1148</v>
      </c>
      <c r="F142" s="26" t="s">
        <v>1229</v>
      </c>
      <c r="G142" s="26" t="s">
        <v>1230</v>
      </c>
      <c r="H142" s="32">
        <v>297.82</v>
      </c>
      <c r="I142" s="173">
        <v>1982781</v>
      </c>
      <c r="J142" s="388">
        <v>6657.6489154522897</v>
      </c>
    </row>
    <row r="143" spans="1:10" ht="13.5" customHeight="1">
      <c r="A143" s="45"/>
      <c r="B143" s="173">
        <v>141</v>
      </c>
      <c r="C143" s="26" t="s">
        <v>1231</v>
      </c>
      <c r="D143" s="116">
        <v>41704</v>
      </c>
      <c r="E143" s="26" t="s">
        <v>1148</v>
      </c>
      <c r="F143" s="26" t="s">
        <v>972</v>
      </c>
      <c r="G143" s="26" t="s">
        <v>1232</v>
      </c>
      <c r="H143" s="32">
        <v>297.82</v>
      </c>
      <c r="I143" s="173">
        <v>1744237</v>
      </c>
      <c r="J143" s="388">
        <v>5856.68188838896</v>
      </c>
    </row>
    <row r="144" spans="1:10" ht="13.5" customHeight="1">
      <c r="A144" s="45"/>
      <c r="B144" s="173">
        <v>142</v>
      </c>
      <c r="C144" s="26" t="s">
        <v>1233</v>
      </c>
      <c r="D144" s="116">
        <v>41709</v>
      </c>
      <c r="E144" s="26" t="s">
        <v>895</v>
      </c>
      <c r="F144" s="26" t="s">
        <v>1234</v>
      </c>
      <c r="G144" s="26" t="s">
        <v>1235</v>
      </c>
      <c r="H144" s="32">
        <v>446.73</v>
      </c>
      <c r="I144" s="173">
        <v>2543144</v>
      </c>
      <c r="J144" s="388">
        <v>5692.7987822622199</v>
      </c>
    </row>
    <row r="145" spans="1:10" ht="13.5" customHeight="1">
      <c r="A145" s="45"/>
      <c r="B145" s="173">
        <v>143</v>
      </c>
      <c r="C145" s="26" t="s">
        <v>1236</v>
      </c>
      <c r="D145" s="116">
        <v>41711</v>
      </c>
      <c r="E145" s="26" t="s">
        <v>1148</v>
      </c>
      <c r="F145" s="26" t="s">
        <v>1116</v>
      </c>
      <c r="G145" s="26" t="s">
        <v>1237</v>
      </c>
      <c r="H145" s="32">
        <v>297.82</v>
      </c>
      <c r="I145" s="173">
        <v>1982781</v>
      </c>
      <c r="J145" s="388">
        <v>6657.6489154522897</v>
      </c>
    </row>
    <row r="146" spans="1:10" ht="13.5" customHeight="1">
      <c r="A146" s="45"/>
      <c r="B146" s="173">
        <v>144</v>
      </c>
      <c r="C146" s="26" t="s">
        <v>1238</v>
      </c>
      <c r="D146" s="116">
        <v>41711</v>
      </c>
      <c r="E146" s="26" t="s">
        <v>1239</v>
      </c>
      <c r="F146" s="26" t="s">
        <v>1240</v>
      </c>
      <c r="G146" s="26" t="s">
        <v>1241</v>
      </c>
      <c r="H146" s="32">
        <v>446.73</v>
      </c>
      <c r="I146" s="173">
        <v>2396356</v>
      </c>
      <c r="J146" s="388">
        <v>5364.2155216797601</v>
      </c>
    </row>
    <row r="147" spans="1:10" ht="13.5" customHeight="1">
      <c r="A147" s="45"/>
      <c r="B147" s="173">
        <v>145</v>
      </c>
      <c r="C147" s="26" t="s">
        <v>1242</v>
      </c>
      <c r="D147" s="116">
        <v>41719</v>
      </c>
      <c r="E147" s="26" t="s">
        <v>1239</v>
      </c>
      <c r="F147" s="26" t="s">
        <v>930</v>
      </c>
      <c r="G147" s="26" t="s">
        <v>1243</v>
      </c>
      <c r="H147" s="32">
        <v>446.73</v>
      </c>
      <c r="I147" s="173">
        <v>3356356</v>
      </c>
      <c r="J147" s="388">
        <v>7513.1645512949699</v>
      </c>
    </row>
    <row r="148" spans="1:10" ht="13.5" customHeight="1">
      <c r="A148" s="45"/>
      <c r="B148" s="173">
        <v>146</v>
      </c>
      <c r="C148" s="26" t="s">
        <v>1244</v>
      </c>
      <c r="D148" s="116">
        <v>41734</v>
      </c>
      <c r="E148" s="26" t="s">
        <v>1239</v>
      </c>
      <c r="F148" s="26" t="s">
        <v>1005</v>
      </c>
      <c r="G148" s="26" t="s">
        <v>1245</v>
      </c>
      <c r="H148" s="32">
        <v>446.73</v>
      </c>
      <c r="I148" s="173">
        <v>3206356</v>
      </c>
      <c r="J148" s="388">
        <v>7177.3912654175901</v>
      </c>
    </row>
    <row r="149" spans="1:10" ht="13.5" customHeight="1">
      <c r="A149" s="45"/>
      <c r="B149" s="173">
        <v>147</v>
      </c>
      <c r="C149" s="26" t="s">
        <v>1246</v>
      </c>
      <c r="D149" s="116">
        <v>41743</v>
      </c>
      <c r="E149" s="26" t="s">
        <v>1239</v>
      </c>
      <c r="F149" s="26" t="s">
        <v>917</v>
      </c>
      <c r="G149" s="26" t="s">
        <v>1247</v>
      </c>
      <c r="H149" s="32">
        <v>446.73</v>
      </c>
      <c r="I149" s="173">
        <v>3121356</v>
      </c>
      <c r="J149" s="388">
        <v>6987.1197367537397</v>
      </c>
    </row>
    <row r="150" spans="1:10" ht="13.5" customHeight="1">
      <c r="A150" s="45"/>
      <c r="B150" s="173">
        <v>148</v>
      </c>
      <c r="C150" s="26" t="s">
        <v>1248</v>
      </c>
      <c r="D150" s="116">
        <v>41746</v>
      </c>
      <c r="E150" s="26" t="s">
        <v>1127</v>
      </c>
      <c r="F150" s="26" t="s">
        <v>997</v>
      </c>
      <c r="G150" s="26" t="s">
        <v>1249</v>
      </c>
      <c r="H150" s="32">
        <v>297.82</v>
      </c>
      <c r="I150" s="173">
        <v>1745811</v>
      </c>
      <c r="J150" s="388">
        <v>5861.9669599086701</v>
      </c>
    </row>
    <row r="151" spans="1:10" ht="13.5" customHeight="1">
      <c r="A151" s="45"/>
      <c r="B151" s="173">
        <v>149</v>
      </c>
      <c r="C151" s="26" t="s">
        <v>1250</v>
      </c>
      <c r="D151" s="116">
        <v>41750</v>
      </c>
      <c r="E151" s="26" t="s">
        <v>1239</v>
      </c>
      <c r="F151" s="26" t="s">
        <v>901</v>
      </c>
      <c r="G151" s="26" t="s">
        <v>1251</v>
      </c>
      <c r="H151" s="32">
        <v>446.73</v>
      </c>
      <c r="I151" s="173">
        <v>2856356</v>
      </c>
      <c r="J151" s="388">
        <v>6393.9202650370498</v>
      </c>
    </row>
    <row r="152" spans="1:10" ht="13.5" customHeight="1">
      <c r="A152" s="45"/>
      <c r="B152" s="173">
        <v>150</v>
      </c>
      <c r="C152" s="26" t="s">
        <v>1252</v>
      </c>
      <c r="D152" s="116">
        <v>41758</v>
      </c>
      <c r="E152" s="26" t="s">
        <v>1239</v>
      </c>
      <c r="F152" s="26" t="s">
        <v>1253</v>
      </c>
      <c r="G152" s="26" t="s">
        <v>1254</v>
      </c>
      <c r="H152" s="32">
        <v>446.73</v>
      </c>
      <c r="I152" s="173">
        <v>2696356</v>
      </c>
      <c r="J152" s="388">
        <v>6035.7620934345096</v>
      </c>
    </row>
    <row r="153" spans="1:10" ht="13.5" customHeight="1">
      <c r="A153" s="45"/>
      <c r="B153" s="173">
        <v>151</v>
      </c>
      <c r="C153" s="26" t="s">
        <v>1255</v>
      </c>
      <c r="D153" s="116">
        <v>41762</v>
      </c>
      <c r="E153" s="26" t="s">
        <v>1148</v>
      </c>
      <c r="F153" s="26" t="s">
        <v>907</v>
      </c>
      <c r="G153" s="26" t="s">
        <v>1256</v>
      </c>
      <c r="H153" s="32">
        <v>297.82</v>
      </c>
      <c r="I153" s="173">
        <v>1958921</v>
      </c>
      <c r="J153" s="388">
        <v>6577.5334094419404</v>
      </c>
    </row>
    <row r="154" spans="1:10" ht="13.5" customHeight="1">
      <c r="A154" s="45"/>
      <c r="B154" s="173">
        <v>152</v>
      </c>
      <c r="C154" s="26" t="s">
        <v>1257</v>
      </c>
      <c r="D154" s="116">
        <v>41762</v>
      </c>
      <c r="E154" s="26" t="s">
        <v>1148</v>
      </c>
      <c r="F154" s="26" t="s">
        <v>1008</v>
      </c>
      <c r="G154" s="26" t="s">
        <v>1258</v>
      </c>
      <c r="H154" s="32">
        <v>297.82</v>
      </c>
      <c r="I154" s="173">
        <v>2076429</v>
      </c>
      <c r="J154" s="388">
        <v>6972.09388221073</v>
      </c>
    </row>
    <row r="155" spans="1:10" ht="13.5" customHeight="1">
      <c r="A155" s="45"/>
      <c r="B155" s="173">
        <v>153</v>
      </c>
      <c r="C155" s="26" t="s">
        <v>1259</v>
      </c>
      <c r="D155" s="116">
        <v>41765</v>
      </c>
      <c r="E155" s="26" t="s">
        <v>1239</v>
      </c>
      <c r="F155" s="26" t="s">
        <v>997</v>
      </c>
      <c r="G155" s="26" t="s">
        <v>1260</v>
      </c>
      <c r="H155" s="32">
        <v>446.73</v>
      </c>
      <c r="I155" s="173">
        <v>3091856</v>
      </c>
      <c r="J155" s="388">
        <v>6921.0843238645302</v>
      </c>
    </row>
    <row r="156" spans="1:10" ht="13.5" customHeight="1">
      <c r="A156" s="45"/>
      <c r="B156" s="173">
        <v>154</v>
      </c>
      <c r="C156" s="26" t="s">
        <v>1261</v>
      </c>
      <c r="D156" s="116">
        <v>41769</v>
      </c>
      <c r="E156" s="26" t="s">
        <v>1148</v>
      </c>
      <c r="F156" s="26" t="s">
        <v>899</v>
      </c>
      <c r="G156" s="26" t="s">
        <v>1262</v>
      </c>
      <c r="H156" s="32">
        <v>297.82</v>
      </c>
      <c r="I156" s="173">
        <v>1921333</v>
      </c>
      <c r="J156" s="388">
        <v>6451.3229467463598</v>
      </c>
    </row>
    <row r="157" spans="1:10" ht="13.5" customHeight="1">
      <c r="A157" s="45"/>
      <c r="B157" s="173">
        <v>155</v>
      </c>
      <c r="C157" s="26" t="s">
        <v>1263</v>
      </c>
      <c r="D157" s="116">
        <v>41771</v>
      </c>
      <c r="E157" s="26" t="s">
        <v>1239</v>
      </c>
      <c r="F157" s="26" t="s">
        <v>1031</v>
      </c>
      <c r="G157" s="26" t="s">
        <v>1264</v>
      </c>
      <c r="H157" s="32">
        <v>446.73</v>
      </c>
      <c r="I157" s="173">
        <v>3382955</v>
      </c>
      <c r="J157" s="388">
        <v>7572.7061088353103</v>
      </c>
    </row>
    <row r="158" spans="1:10" ht="13.5" customHeight="1">
      <c r="A158" s="45"/>
      <c r="B158" s="173">
        <v>156</v>
      </c>
      <c r="C158" s="26" t="s">
        <v>1265</v>
      </c>
      <c r="D158" s="116">
        <v>41774</v>
      </c>
      <c r="E158" s="26" t="s">
        <v>1148</v>
      </c>
      <c r="F158" s="26" t="s">
        <v>950</v>
      </c>
      <c r="G158" s="26" t="s">
        <v>1266</v>
      </c>
      <c r="H158" s="32">
        <v>297.82</v>
      </c>
      <c r="I158" s="173">
        <v>1894315</v>
      </c>
      <c r="J158" s="388">
        <v>6360.6037203680098</v>
      </c>
    </row>
    <row r="159" spans="1:10" ht="13.5" customHeight="1">
      <c r="A159" s="45"/>
      <c r="B159" s="173">
        <v>157</v>
      </c>
      <c r="C159" s="26" t="s">
        <v>1267</v>
      </c>
      <c r="D159" s="116">
        <v>41778</v>
      </c>
      <c r="E159" s="26" t="s">
        <v>1148</v>
      </c>
      <c r="F159" s="26" t="s">
        <v>1234</v>
      </c>
      <c r="G159" s="26" t="s">
        <v>1268</v>
      </c>
      <c r="H159" s="32">
        <v>297.82</v>
      </c>
      <c r="I159" s="173">
        <v>1774887</v>
      </c>
      <c r="J159" s="388">
        <v>5959.5964005103797</v>
      </c>
    </row>
    <row r="160" spans="1:10" ht="13.5" customHeight="1">
      <c r="A160" s="45"/>
      <c r="B160" s="173">
        <v>158</v>
      </c>
      <c r="C160" s="26" t="s">
        <v>1269</v>
      </c>
      <c r="D160" s="116">
        <v>41778</v>
      </c>
      <c r="E160" s="26" t="s">
        <v>1239</v>
      </c>
      <c r="F160" s="26" t="s">
        <v>936</v>
      </c>
      <c r="G160" s="26" t="s">
        <v>1270</v>
      </c>
      <c r="H160" s="32">
        <v>446.73</v>
      </c>
      <c r="I160" s="173">
        <v>3156356</v>
      </c>
      <c r="J160" s="388">
        <v>7065.4668367918002</v>
      </c>
    </row>
    <row r="161" spans="1:10" ht="13.5" customHeight="1">
      <c r="A161" s="45"/>
      <c r="B161" s="173">
        <v>159</v>
      </c>
      <c r="C161" s="26" t="s">
        <v>1271</v>
      </c>
      <c r="D161" s="116">
        <v>41781</v>
      </c>
      <c r="E161" s="26" t="s">
        <v>1239</v>
      </c>
      <c r="F161" s="26" t="s">
        <v>899</v>
      </c>
      <c r="G161" s="26" t="s">
        <v>1272</v>
      </c>
      <c r="H161" s="32">
        <v>446.73</v>
      </c>
      <c r="I161" s="173">
        <v>2338206</v>
      </c>
      <c r="J161" s="388">
        <v>5234.0474111879703</v>
      </c>
    </row>
    <row r="162" spans="1:10" ht="13.5" customHeight="1">
      <c r="A162" s="45"/>
      <c r="B162" s="173">
        <v>160</v>
      </c>
      <c r="C162" s="26" t="s">
        <v>1273</v>
      </c>
      <c r="D162" s="116">
        <v>41787</v>
      </c>
      <c r="E162" s="26" t="s">
        <v>1091</v>
      </c>
      <c r="F162" s="26" t="s">
        <v>997</v>
      </c>
      <c r="G162" s="26" t="s">
        <v>1274</v>
      </c>
      <c r="H162" s="32">
        <v>446.73</v>
      </c>
      <c r="I162" s="173">
        <v>2700483</v>
      </c>
      <c r="J162" s="388">
        <v>6045.0003357732903</v>
      </c>
    </row>
    <row r="163" spans="1:10" ht="13.5" customHeight="1">
      <c r="A163" s="45"/>
      <c r="B163" s="173">
        <v>161</v>
      </c>
      <c r="C163" s="26" t="s">
        <v>1275</v>
      </c>
      <c r="D163" s="116">
        <v>41793</v>
      </c>
      <c r="E163" s="26" t="s">
        <v>1130</v>
      </c>
      <c r="F163" s="26" t="s">
        <v>1204</v>
      </c>
      <c r="G163" s="26" t="s">
        <v>1276</v>
      </c>
      <c r="H163" s="32">
        <v>446.73</v>
      </c>
      <c r="I163" s="173">
        <v>2547836</v>
      </c>
      <c r="J163" s="388">
        <v>5703.3017706444598</v>
      </c>
    </row>
    <row r="164" spans="1:10" ht="13.5" customHeight="1">
      <c r="A164" s="45"/>
      <c r="B164" s="173">
        <v>162</v>
      </c>
      <c r="C164" s="26" t="s">
        <v>1277</v>
      </c>
      <c r="D164" s="116">
        <v>41801</v>
      </c>
      <c r="E164" s="26" t="s">
        <v>1239</v>
      </c>
      <c r="F164" s="26" t="s">
        <v>933</v>
      </c>
      <c r="G164" s="26" t="s">
        <v>1278</v>
      </c>
      <c r="H164" s="32">
        <v>446.73</v>
      </c>
      <c r="I164" s="173">
        <v>2581356</v>
      </c>
      <c r="J164" s="388">
        <v>5778.3359075951903</v>
      </c>
    </row>
    <row r="165" spans="1:10" ht="13.5" customHeight="1">
      <c r="A165" s="45"/>
      <c r="B165" s="173">
        <v>163</v>
      </c>
      <c r="C165" s="26" t="s">
        <v>1279</v>
      </c>
      <c r="D165" s="116">
        <v>41810</v>
      </c>
      <c r="E165" s="26" t="s">
        <v>1239</v>
      </c>
      <c r="F165" s="26" t="s">
        <v>921</v>
      </c>
      <c r="G165" s="26" t="s">
        <v>1280</v>
      </c>
      <c r="H165" s="32">
        <v>446.73</v>
      </c>
      <c r="I165" s="173">
        <v>3396356</v>
      </c>
      <c r="J165" s="388">
        <v>7602.7040941956002</v>
      </c>
    </row>
    <row r="166" spans="1:10" ht="13.5" customHeight="1">
      <c r="A166" s="45"/>
      <c r="B166" s="173">
        <v>164</v>
      </c>
      <c r="C166" s="26" t="s">
        <v>1281</v>
      </c>
      <c r="D166" s="116">
        <v>41813</v>
      </c>
      <c r="E166" s="26" t="s">
        <v>1148</v>
      </c>
      <c r="F166" s="26" t="s">
        <v>1067</v>
      </c>
      <c r="G166" s="26" t="s">
        <v>1282</v>
      </c>
      <c r="H166" s="32">
        <v>297.82</v>
      </c>
      <c r="I166" s="173">
        <v>2108824</v>
      </c>
      <c r="J166" s="388">
        <v>7080.8676381707101</v>
      </c>
    </row>
    <row r="167" spans="1:10" ht="13.5" customHeight="1">
      <c r="A167" s="45"/>
      <c r="B167" s="173">
        <v>165</v>
      </c>
      <c r="C167" s="26" t="s">
        <v>1283</v>
      </c>
      <c r="D167" s="116">
        <v>41828</v>
      </c>
      <c r="E167" s="26" t="s">
        <v>1239</v>
      </c>
      <c r="F167" s="26" t="s">
        <v>992</v>
      </c>
      <c r="G167" s="26" t="s">
        <v>1284</v>
      </c>
      <c r="H167" s="32">
        <v>446.73</v>
      </c>
      <c r="I167" s="173">
        <v>3202806</v>
      </c>
      <c r="J167" s="388">
        <v>7169.4446309851601</v>
      </c>
    </row>
    <row r="168" spans="1:10" ht="13.5" customHeight="1">
      <c r="A168" s="45"/>
      <c r="B168" s="173">
        <v>166</v>
      </c>
      <c r="C168" s="26" t="s">
        <v>1285</v>
      </c>
      <c r="D168" s="116">
        <v>41831</v>
      </c>
      <c r="E168" s="26" t="s">
        <v>1148</v>
      </c>
      <c r="F168" s="26" t="s">
        <v>953</v>
      </c>
      <c r="G168" s="26" t="s">
        <v>1286</v>
      </c>
      <c r="H168" s="32">
        <v>297.82</v>
      </c>
      <c r="I168" s="173">
        <v>2053007</v>
      </c>
      <c r="J168" s="388">
        <v>6893.44906319253</v>
      </c>
    </row>
    <row r="169" spans="1:10" ht="13.5" customHeight="1">
      <c r="A169" s="45"/>
      <c r="B169" s="173">
        <v>167</v>
      </c>
      <c r="C169" s="26" t="s">
        <v>1287</v>
      </c>
      <c r="D169" s="116">
        <v>41836</v>
      </c>
      <c r="E169" s="26" t="s">
        <v>1127</v>
      </c>
      <c r="F169" s="26" t="s">
        <v>947</v>
      </c>
      <c r="G169" s="26" t="s">
        <v>1288</v>
      </c>
      <c r="H169" s="32">
        <v>297.82</v>
      </c>
      <c r="I169" s="173">
        <v>2168710</v>
      </c>
      <c r="J169" s="388">
        <v>7281.9488281512304</v>
      </c>
    </row>
    <row r="170" spans="1:10" ht="13.5" customHeight="1">
      <c r="A170" s="45"/>
      <c r="B170" s="173">
        <v>168</v>
      </c>
      <c r="C170" s="26" t="s">
        <v>1289</v>
      </c>
      <c r="D170" s="116">
        <v>41837</v>
      </c>
      <c r="E170" s="26" t="s">
        <v>1239</v>
      </c>
      <c r="F170" s="26" t="s">
        <v>1067</v>
      </c>
      <c r="G170" s="26" t="s">
        <v>1290</v>
      </c>
      <c r="H170" s="32">
        <v>458.48</v>
      </c>
      <c r="I170" s="173">
        <v>3021968</v>
      </c>
      <c r="J170" s="388">
        <v>6591.2755191066099</v>
      </c>
    </row>
    <row r="171" spans="1:10" ht="13.5" customHeight="1">
      <c r="A171" s="45"/>
      <c r="B171" s="173">
        <v>169</v>
      </c>
      <c r="C171" s="26" t="s">
        <v>1291</v>
      </c>
      <c r="D171" s="116">
        <v>41841</v>
      </c>
      <c r="E171" s="26" t="s">
        <v>1148</v>
      </c>
      <c r="F171" s="26" t="s">
        <v>1226</v>
      </c>
      <c r="G171" s="26" t="s">
        <v>1292</v>
      </c>
      <c r="H171" s="32">
        <v>297.82</v>
      </c>
      <c r="I171" s="173">
        <v>2168710</v>
      </c>
      <c r="J171" s="388">
        <v>7281.9488281512304</v>
      </c>
    </row>
    <row r="172" spans="1:10" ht="13.5" customHeight="1">
      <c r="A172" s="45"/>
      <c r="B172" s="173">
        <v>170</v>
      </c>
      <c r="C172" s="26" t="s">
        <v>1293</v>
      </c>
      <c r="D172" s="116">
        <v>41853</v>
      </c>
      <c r="E172" s="26" t="s">
        <v>895</v>
      </c>
      <c r="F172" s="26" t="s">
        <v>1157</v>
      </c>
      <c r="G172" s="26" t="s">
        <v>1294</v>
      </c>
      <c r="H172" s="32">
        <v>458.48</v>
      </c>
      <c r="I172" s="173">
        <v>2662038</v>
      </c>
      <c r="J172" s="388">
        <v>5806.2249171174299</v>
      </c>
    </row>
    <row r="173" spans="1:10" ht="13.5" customHeight="1">
      <c r="A173" s="45"/>
      <c r="B173" s="173">
        <v>171</v>
      </c>
      <c r="C173" s="26" t="s">
        <v>1295</v>
      </c>
      <c r="D173" s="116">
        <v>41884</v>
      </c>
      <c r="E173" s="26" t="s">
        <v>1127</v>
      </c>
      <c r="F173" s="26" t="s">
        <v>1031</v>
      </c>
      <c r="G173" s="26" t="s">
        <v>1296</v>
      </c>
      <c r="H173" s="32">
        <v>297.82</v>
      </c>
      <c r="I173" s="173">
        <v>2044315</v>
      </c>
      <c r="J173" s="388">
        <v>6864.2636491840703</v>
      </c>
    </row>
    <row r="174" spans="1:10" ht="13.5" customHeight="1">
      <c r="A174" s="45"/>
      <c r="B174" s="173">
        <v>172</v>
      </c>
      <c r="C174" s="26" t="s">
        <v>1297</v>
      </c>
      <c r="D174" s="116">
        <v>41886</v>
      </c>
      <c r="E174" s="26" t="s">
        <v>1127</v>
      </c>
      <c r="F174" s="26" t="s">
        <v>896</v>
      </c>
      <c r="G174" s="26" t="s">
        <v>1298</v>
      </c>
      <c r="H174" s="32">
        <v>297.82</v>
      </c>
      <c r="I174" s="173">
        <v>1919919</v>
      </c>
      <c r="J174" s="388">
        <v>6446.5751124840499</v>
      </c>
    </row>
    <row r="175" spans="1:10" ht="13.5" customHeight="1">
      <c r="A175" s="45"/>
      <c r="B175" s="173">
        <v>173</v>
      </c>
      <c r="C175" s="26" t="s">
        <v>1299</v>
      </c>
      <c r="D175" s="116">
        <v>41886</v>
      </c>
      <c r="E175" s="26" t="s">
        <v>1127</v>
      </c>
      <c r="F175" s="26" t="s">
        <v>907</v>
      </c>
      <c r="G175" s="26" t="s">
        <v>1300</v>
      </c>
      <c r="H175" s="32">
        <v>297.82</v>
      </c>
      <c r="I175" s="173">
        <v>1919919</v>
      </c>
      <c r="J175" s="388">
        <v>6446.5751124840499</v>
      </c>
    </row>
    <row r="176" spans="1:10" ht="13.5" customHeight="1">
      <c r="A176" s="45"/>
      <c r="B176" s="173">
        <v>174</v>
      </c>
      <c r="C176" s="26" t="s">
        <v>1301</v>
      </c>
      <c r="D176" s="116">
        <v>41887</v>
      </c>
      <c r="E176" s="26" t="s">
        <v>1302</v>
      </c>
      <c r="F176" s="26" t="s">
        <v>1303</v>
      </c>
      <c r="G176" s="26" t="s">
        <v>1304</v>
      </c>
      <c r="H176" s="32">
        <v>446.73</v>
      </c>
      <c r="I176" s="173">
        <v>2946185</v>
      </c>
      <c r="J176" s="388">
        <v>6595.0014550175702</v>
      </c>
    </row>
    <row r="177" spans="1:10" ht="13.5" customHeight="1">
      <c r="A177" s="45"/>
      <c r="B177" s="173">
        <v>175</v>
      </c>
      <c r="C177" s="26" t="s">
        <v>1305</v>
      </c>
      <c r="D177" s="116">
        <v>41887</v>
      </c>
      <c r="E177" s="26" t="s">
        <v>1239</v>
      </c>
      <c r="F177" s="26" t="s">
        <v>896</v>
      </c>
      <c r="G177" s="26" t="s">
        <v>1306</v>
      </c>
      <c r="H177" s="32">
        <v>446.73</v>
      </c>
      <c r="I177" s="173">
        <v>3368756</v>
      </c>
      <c r="J177" s="388">
        <v>7540.9218095941596</v>
      </c>
    </row>
    <row r="178" spans="1:10" ht="13.5" customHeight="1">
      <c r="A178" s="45"/>
      <c r="B178" s="173">
        <v>176</v>
      </c>
      <c r="C178" s="26" t="s">
        <v>1307</v>
      </c>
      <c r="D178" s="116">
        <v>41890</v>
      </c>
      <c r="E178" s="26" t="s">
        <v>1239</v>
      </c>
      <c r="F178" s="26" t="s">
        <v>924</v>
      </c>
      <c r="G178" s="26" t="s">
        <v>1308</v>
      </c>
      <c r="H178" s="32">
        <v>446.73</v>
      </c>
      <c r="I178" s="173">
        <v>3246356</v>
      </c>
      <c r="J178" s="388">
        <v>7266.9308083182204</v>
      </c>
    </row>
    <row r="179" spans="1:10" ht="13.5" customHeight="1">
      <c r="A179" s="45"/>
      <c r="B179" s="173">
        <v>177</v>
      </c>
      <c r="C179" s="26" t="s">
        <v>1309</v>
      </c>
      <c r="D179" s="116">
        <v>41891</v>
      </c>
      <c r="E179" s="26" t="s">
        <v>1173</v>
      </c>
      <c r="F179" s="26" t="s">
        <v>1310</v>
      </c>
      <c r="G179" s="26" t="s">
        <v>1311</v>
      </c>
      <c r="H179" s="32">
        <v>446.73</v>
      </c>
      <c r="I179" s="173">
        <v>3085676</v>
      </c>
      <c r="J179" s="388">
        <v>6907.2504644863802</v>
      </c>
    </row>
    <row r="180" spans="1:10" ht="13.5" customHeight="1">
      <c r="A180" s="45"/>
      <c r="B180" s="173">
        <v>178</v>
      </c>
      <c r="C180" s="26" t="s">
        <v>1312</v>
      </c>
      <c r="D180" s="116">
        <v>41899</v>
      </c>
      <c r="E180" s="26" t="s">
        <v>1302</v>
      </c>
      <c r="F180" s="26" t="s">
        <v>1313</v>
      </c>
      <c r="G180" s="26" t="s">
        <v>1314</v>
      </c>
      <c r="H180" s="32">
        <v>446.73</v>
      </c>
      <c r="I180" s="173">
        <v>2946185</v>
      </c>
      <c r="J180" s="388">
        <v>6595.0014550175702</v>
      </c>
    </row>
    <row r="181" spans="1:10" ht="13.5" customHeight="1">
      <c r="A181" s="45"/>
      <c r="B181" s="173">
        <v>179</v>
      </c>
      <c r="C181" s="26" t="s">
        <v>1315</v>
      </c>
      <c r="D181" s="116">
        <v>41907</v>
      </c>
      <c r="E181" s="26" t="s">
        <v>1091</v>
      </c>
      <c r="F181" s="26" t="s">
        <v>1064</v>
      </c>
      <c r="G181" s="26" t="s">
        <v>1316</v>
      </c>
      <c r="H181" s="32">
        <v>446.73</v>
      </c>
      <c r="I181" s="173">
        <v>2560556</v>
      </c>
      <c r="J181" s="388">
        <v>5731.7753452868601</v>
      </c>
    </row>
    <row r="182" spans="1:10" ht="13.5" customHeight="1">
      <c r="A182" s="45"/>
      <c r="B182" s="173">
        <v>180</v>
      </c>
      <c r="C182" s="26" t="s">
        <v>1317</v>
      </c>
      <c r="D182" s="116">
        <v>41907</v>
      </c>
      <c r="E182" s="26" t="s">
        <v>1091</v>
      </c>
      <c r="F182" s="26" t="s">
        <v>927</v>
      </c>
      <c r="G182" s="26" t="s">
        <v>1318</v>
      </c>
      <c r="H182" s="32">
        <v>446.73</v>
      </c>
      <c r="I182" s="173">
        <v>2560556</v>
      </c>
      <c r="J182" s="388">
        <v>5731.7753452868601</v>
      </c>
    </row>
    <row r="183" spans="1:10" ht="13.5" customHeight="1">
      <c r="A183" s="45"/>
      <c r="B183" s="173">
        <v>181</v>
      </c>
      <c r="C183" s="26" t="s">
        <v>1319</v>
      </c>
      <c r="D183" s="116">
        <v>41913</v>
      </c>
      <c r="E183" s="26" t="s">
        <v>1239</v>
      </c>
      <c r="F183" s="26" t="s">
        <v>959</v>
      </c>
      <c r="G183" s="26" t="s">
        <v>1320</v>
      </c>
      <c r="H183" s="32">
        <v>446.73</v>
      </c>
      <c r="I183" s="173">
        <v>2707761</v>
      </c>
      <c r="J183" s="388">
        <v>6061.2920556040599</v>
      </c>
    </row>
    <row r="184" spans="1:10" ht="13.5" customHeight="1">
      <c r="A184" s="45"/>
      <c r="B184" s="173">
        <v>182</v>
      </c>
      <c r="C184" s="26" t="s">
        <v>1321</v>
      </c>
      <c r="D184" s="116">
        <v>41916</v>
      </c>
      <c r="E184" s="26" t="s">
        <v>1302</v>
      </c>
      <c r="F184" s="26" t="s">
        <v>1322</v>
      </c>
      <c r="G184" s="26" t="s">
        <v>1323</v>
      </c>
      <c r="H184" s="32">
        <v>446.73</v>
      </c>
      <c r="I184" s="173">
        <v>2946185</v>
      </c>
      <c r="J184" s="388">
        <v>6595.0014550175702</v>
      </c>
    </row>
    <row r="185" spans="1:10" ht="13.5" customHeight="1">
      <c r="A185" s="45"/>
      <c r="B185" s="173">
        <v>183</v>
      </c>
      <c r="C185" s="26" t="s">
        <v>1324</v>
      </c>
      <c r="D185" s="116">
        <v>41916</v>
      </c>
      <c r="E185" s="26" t="s">
        <v>1173</v>
      </c>
      <c r="F185" s="26" t="s">
        <v>1031</v>
      </c>
      <c r="G185" s="26" t="s">
        <v>1325</v>
      </c>
      <c r="H185" s="32">
        <v>446.73</v>
      </c>
      <c r="I185" s="173">
        <v>3001981</v>
      </c>
      <c r="J185" s="388">
        <v>6719.9001634096703</v>
      </c>
    </row>
    <row r="186" spans="1:10" ht="13.5" customHeight="1">
      <c r="A186" s="45"/>
      <c r="B186" s="173">
        <v>184</v>
      </c>
      <c r="C186" s="26" t="s">
        <v>1326</v>
      </c>
      <c r="D186" s="116">
        <v>41919</v>
      </c>
      <c r="E186" s="26" t="s">
        <v>1302</v>
      </c>
      <c r="F186" s="26" t="s">
        <v>1327</v>
      </c>
      <c r="G186" s="26" t="s">
        <v>1328</v>
      </c>
      <c r="H186" s="32">
        <v>446.73</v>
      </c>
      <c r="I186" s="173">
        <v>2806693</v>
      </c>
      <c r="J186" s="388">
        <v>6282.7502070601904</v>
      </c>
    </row>
    <row r="187" spans="1:10" ht="13.5" customHeight="1">
      <c r="A187" s="45"/>
      <c r="B187" s="173">
        <v>185</v>
      </c>
      <c r="C187" s="26" t="s">
        <v>1329</v>
      </c>
      <c r="D187" s="116">
        <v>41923</v>
      </c>
      <c r="E187" s="26" t="s">
        <v>1302</v>
      </c>
      <c r="F187" s="26" t="s">
        <v>1330</v>
      </c>
      <c r="G187" s="26" t="s">
        <v>1331</v>
      </c>
      <c r="H187" s="32">
        <v>446.73</v>
      </c>
      <c r="I187" s="173">
        <v>2926082</v>
      </c>
      <c r="J187" s="388">
        <v>6550.0011192442898</v>
      </c>
    </row>
    <row r="188" spans="1:10" ht="13.5" customHeight="1">
      <c r="A188" s="45"/>
      <c r="B188" s="173">
        <v>186</v>
      </c>
      <c r="C188" s="26" t="s">
        <v>1332</v>
      </c>
      <c r="D188" s="116">
        <v>41925</v>
      </c>
      <c r="E188" s="26" t="s">
        <v>1302</v>
      </c>
      <c r="F188" s="26" t="s">
        <v>1333</v>
      </c>
      <c r="G188" s="26" t="s">
        <v>1334</v>
      </c>
      <c r="H188" s="32">
        <v>446.73</v>
      </c>
      <c r="I188" s="173">
        <v>2795847</v>
      </c>
      <c r="J188" s="388">
        <v>6258.4715600026902</v>
      </c>
    </row>
    <row r="189" spans="1:10" ht="13.5" customHeight="1">
      <c r="A189" s="45"/>
      <c r="B189" s="173">
        <v>187</v>
      </c>
      <c r="C189" s="26" t="s">
        <v>1335</v>
      </c>
      <c r="D189" s="116">
        <v>41926</v>
      </c>
      <c r="E189" s="26" t="s">
        <v>895</v>
      </c>
      <c r="F189" s="26" t="s">
        <v>1036</v>
      </c>
      <c r="G189" s="26" t="s">
        <v>1336</v>
      </c>
      <c r="H189" s="32">
        <v>446.73</v>
      </c>
      <c r="I189" s="173">
        <v>2605530</v>
      </c>
      <c r="J189" s="388">
        <v>5832.4491303471896</v>
      </c>
    </row>
    <row r="190" spans="1:10" ht="13.5" customHeight="1">
      <c r="A190" s="45"/>
      <c r="B190" s="173">
        <v>188</v>
      </c>
      <c r="C190" s="26" t="s">
        <v>1337</v>
      </c>
      <c r="D190" s="116">
        <v>41939</v>
      </c>
      <c r="E190" s="26" t="s">
        <v>1173</v>
      </c>
      <c r="F190" s="26" t="s">
        <v>896</v>
      </c>
      <c r="G190" s="26" t="s">
        <v>1338</v>
      </c>
      <c r="H190" s="32">
        <v>446.73</v>
      </c>
      <c r="I190" s="173">
        <v>3141473</v>
      </c>
      <c r="J190" s="388">
        <v>7032.1514113670401</v>
      </c>
    </row>
    <row r="191" spans="1:10" ht="13.5" customHeight="1">
      <c r="A191" s="45"/>
      <c r="B191" s="173">
        <v>189</v>
      </c>
      <c r="C191" s="26" t="s">
        <v>1339</v>
      </c>
      <c r="D191" s="116">
        <v>41941</v>
      </c>
      <c r="E191" s="26" t="s">
        <v>1148</v>
      </c>
      <c r="F191" s="26" t="s">
        <v>1340</v>
      </c>
      <c r="G191" s="26" t="s">
        <v>1341</v>
      </c>
      <c r="H191" s="32">
        <v>297.82</v>
      </c>
      <c r="I191" s="173">
        <v>2014123</v>
      </c>
      <c r="J191" s="388">
        <v>6762.8869787119702</v>
      </c>
    </row>
    <row r="192" spans="1:10" ht="13.5" customHeight="1">
      <c r="A192" s="45"/>
      <c r="B192" s="173">
        <v>190</v>
      </c>
      <c r="C192" s="26" t="s">
        <v>1342</v>
      </c>
      <c r="D192" s="116">
        <v>41942</v>
      </c>
      <c r="E192" s="26" t="s">
        <v>1148</v>
      </c>
      <c r="F192" s="26" t="s">
        <v>936</v>
      </c>
      <c r="G192" s="26" t="s">
        <v>1343</v>
      </c>
      <c r="H192" s="32">
        <v>297.82</v>
      </c>
      <c r="I192" s="173">
        <v>1871129</v>
      </c>
      <c r="J192" s="388">
        <v>6282.7513263044802</v>
      </c>
    </row>
    <row r="193" spans="1:10" ht="13.5" customHeight="1">
      <c r="A193" s="45"/>
      <c r="B193" s="173">
        <v>191</v>
      </c>
      <c r="C193" s="26" t="s">
        <v>1344</v>
      </c>
      <c r="D193" s="116">
        <v>41942</v>
      </c>
      <c r="E193" s="26" t="s">
        <v>1148</v>
      </c>
      <c r="F193" s="26" t="s">
        <v>975</v>
      </c>
      <c r="G193" s="26" t="s">
        <v>1345</v>
      </c>
      <c r="H193" s="32">
        <v>297.82</v>
      </c>
      <c r="I193" s="173">
        <v>2019920</v>
      </c>
      <c r="J193" s="388">
        <v>6782.3517560942901</v>
      </c>
    </row>
    <row r="194" spans="1:10" ht="13.5" customHeight="1">
      <c r="A194" s="45"/>
      <c r="B194" s="173">
        <v>192</v>
      </c>
      <c r="C194" s="26" t="s">
        <v>1346</v>
      </c>
      <c r="D194" s="116">
        <v>41942</v>
      </c>
      <c r="E194" s="26" t="s">
        <v>1109</v>
      </c>
      <c r="F194" s="26" t="s">
        <v>1025</v>
      </c>
      <c r="G194" s="26" t="s">
        <v>1347</v>
      </c>
      <c r="H194" s="32">
        <v>950</v>
      </c>
      <c r="I194" s="173">
        <v>5517500</v>
      </c>
      <c r="J194" s="388">
        <v>5807.8947368421004</v>
      </c>
    </row>
    <row r="195" spans="1:10" ht="13.5" customHeight="1">
      <c r="A195" s="45"/>
      <c r="B195" s="173">
        <v>193</v>
      </c>
      <c r="C195" s="26" t="s">
        <v>1348</v>
      </c>
      <c r="D195" s="116">
        <v>41946</v>
      </c>
      <c r="E195" s="26" t="s">
        <v>1239</v>
      </c>
      <c r="F195" s="26" t="s">
        <v>1157</v>
      </c>
      <c r="G195" s="26" t="s">
        <v>1349</v>
      </c>
      <c r="H195" s="32">
        <v>458.48</v>
      </c>
      <c r="I195" s="173">
        <v>3485468</v>
      </c>
      <c r="J195" s="388">
        <v>7602.22474262781</v>
      </c>
    </row>
    <row r="196" spans="1:10" ht="13.5" customHeight="1">
      <c r="A196" s="45"/>
      <c r="B196" s="173">
        <v>194</v>
      </c>
      <c r="C196" s="26" t="s">
        <v>1350</v>
      </c>
      <c r="D196" s="116">
        <v>41950</v>
      </c>
      <c r="E196" s="26" t="s">
        <v>1127</v>
      </c>
      <c r="F196" s="26" t="s">
        <v>901</v>
      </c>
      <c r="G196" s="26" t="s">
        <v>1351</v>
      </c>
      <c r="H196" s="32">
        <v>297.82</v>
      </c>
      <c r="I196" s="173">
        <v>1977236</v>
      </c>
      <c r="J196" s="388">
        <v>6639.0302867503897</v>
      </c>
    </row>
    <row r="197" spans="1:10" ht="13.5" customHeight="1">
      <c r="A197" s="45"/>
      <c r="B197" s="173">
        <v>195</v>
      </c>
      <c r="C197" s="26" t="s">
        <v>1352</v>
      </c>
      <c r="D197" s="116">
        <v>41952</v>
      </c>
      <c r="E197" s="26" t="s">
        <v>1239</v>
      </c>
      <c r="F197" s="26" t="s">
        <v>1041</v>
      </c>
      <c r="G197" s="26" t="s">
        <v>1353</v>
      </c>
      <c r="H197" s="32">
        <v>446.73</v>
      </c>
      <c r="I197" s="173">
        <v>2856356</v>
      </c>
      <c r="J197" s="388">
        <v>6393.9202650370498</v>
      </c>
    </row>
    <row r="198" spans="1:10" ht="13.5" customHeight="1">
      <c r="A198" s="45"/>
      <c r="B198" s="173">
        <v>196</v>
      </c>
      <c r="C198" s="26" t="s">
        <v>1354</v>
      </c>
      <c r="D198" s="116">
        <v>41953</v>
      </c>
      <c r="E198" s="26" t="s">
        <v>1148</v>
      </c>
      <c r="F198" s="26" t="s">
        <v>1145</v>
      </c>
      <c r="G198" s="26" t="s">
        <v>1355</v>
      </c>
      <c r="H198" s="32">
        <v>297.82</v>
      </c>
      <c r="I198" s="173">
        <v>2001321</v>
      </c>
      <c r="J198" s="388">
        <v>6719.9012826539501</v>
      </c>
    </row>
    <row r="199" spans="1:10" ht="13.5" customHeight="1">
      <c r="A199" s="45"/>
      <c r="B199" s="173">
        <v>197</v>
      </c>
      <c r="C199" s="26" t="s">
        <v>1356</v>
      </c>
      <c r="D199" s="116">
        <v>41953</v>
      </c>
      <c r="E199" s="26" t="s">
        <v>1148</v>
      </c>
      <c r="F199" s="26" t="s">
        <v>1036</v>
      </c>
      <c r="G199" s="26" t="s">
        <v>1357</v>
      </c>
      <c r="H199" s="32">
        <v>297.82</v>
      </c>
      <c r="I199" s="173">
        <v>2001321</v>
      </c>
      <c r="J199" s="388">
        <v>6719.9012826539501</v>
      </c>
    </row>
    <row r="200" spans="1:10" ht="13.5" customHeight="1">
      <c r="A200" s="45"/>
      <c r="B200" s="173">
        <v>198</v>
      </c>
      <c r="C200" s="26" t="s">
        <v>1358</v>
      </c>
      <c r="D200" s="116">
        <v>41955</v>
      </c>
      <c r="E200" s="26" t="s">
        <v>1112</v>
      </c>
      <c r="F200" s="26" t="s">
        <v>1359</v>
      </c>
      <c r="G200" s="26" t="s">
        <v>1360</v>
      </c>
      <c r="H200" s="32">
        <v>919.12</v>
      </c>
      <c r="I200" s="173">
        <v>11121692</v>
      </c>
      <c r="J200" s="388">
        <v>12100.369919053001</v>
      </c>
    </row>
    <row r="201" spans="1:10" ht="13.5" customHeight="1">
      <c r="A201" s="45"/>
      <c r="B201" s="173">
        <v>199</v>
      </c>
      <c r="C201" s="26" t="s">
        <v>1361</v>
      </c>
      <c r="D201" s="116">
        <v>41960</v>
      </c>
      <c r="E201" s="26" t="s">
        <v>1109</v>
      </c>
      <c r="F201" s="26" t="s">
        <v>1031</v>
      </c>
      <c r="G201" s="26" t="s">
        <v>1362</v>
      </c>
      <c r="H201" s="32">
        <v>950</v>
      </c>
      <c r="I201" s="173">
        <v>6176259</v>
      </c>
      <c r="J201" s="388">
        <v>6501.3252631578898</v>
      </c>
    </row>
    <row r="202" spans="1:10" ht="13.5" customHeight="1">
      <c r="A202" s="45"/>
      <c r="B202" s="173">
        <v>200</v>
      </c>
      <c r="C202" s="26" t="s">
        <v>1363</v>
      </c>
      <c r="D202" s="116">
        <v>41961</v>
      </c>
      <c r="E202" s="26" t="s">
        <v>1302</v>
      </c>
      <c r="F202" s="26" t="s">
        <v>1364</v>
      </c>
      <c r="G202" s="26" t="s">
        <v>1365</v>
      </c>
      <c r="H202" s="32">
        <v>446.73</v>
      </c>
      <c r="I202" s="173">
        <v>2731356</v>
      </c>
      <c r="J202" s="388">
        <v>6114.10919347257</v>
      </c>
    </row>
    <row r="203" spans="1:10" ht="13.5" customHeight="1">
      <c r="A203" s="45"/>
      <c r="B203" s="173">
        <v>201</v>
      </c>
      <c r="C203" s="26" t="s">
        <v>1366</v>
      </c>
      <c r="D203" s="116">
        <v>41965</v>
      </c>
      <c r="E203" s="26" t="s">
        <v>1127</v>
      </c>
      <c r="F203" s="26" t="s">
        <v>1046</v>
      </c>
      <c r="G203" s="26" t="s">
        <v>1367</v>
      </c>
      <c r="H203" s="32">
        <v>297.82</v>
      </c>
      <c r="I203" s="173">
        <v>2108824</v>
      </c>
      <c r="J203" s="388">
        <v>7080.8676381707101</v>
      </c>
    </row>
    <row r="204" spans="1:10" ht="13.5" customHeight="1">
      <c r="A204" s="45"/>
      <c r="B204" s="173">
        <v>202</v>
      </c>
      <c r="C204" s="26" t="s">
        <v>1368</v>
      </c>
      <c r="D204" s="116">
        <v>41976</v>
      </c>
      <c r="E204" s="26" t="s">
        <v>1127</v>
      </c>
      <c r="F204" s="26" t="s">
        <v>933</v>
      </c>
      <c r="G204" s="26" t="s">
        <v>1369</v>
      </c>
      <c r="H204" s="32">
        <v>297.82</v>
      </c>
      <c r="I204" s="173">
        <v>1904237</v>
      </c>
      <c r="J204" s="388">
        <v>6393.91914579276</v>
      </c>
    </row>
    <row r="205" spans="1:10" ht="13.5" customHeight="1">
      <c r="A205" s="45"/>
      <c r="B205" s="173">
        <v>203</v>
      </c>
      <c r="C205" s="26" t="s">
        <v>1370</v>
      </c>
      <c r="D205" s="389">
        <v>41996</v>
      </c>
      <c r="E205" s="26" t="s">
        <v>1099</v>
      </c>
      <c r="F205" s="26" t="s">
        <v>1371</v>
      </c>
      <c r="G205" s="26" t="s">
        <v>1372</v>
      </c>
      <c r="H205" s="89">
        <v>919.12</v>
      </c>
      <c r="I205" s="173">
        <v>5121692</v>
      </c>
      <c r="J205" s="388">
        <v>5572.38663069023</v>
      </c>
    </row>
    <row r="206" spans="1:10" ht="13.5" customHeight="1">
      <c r="A206" s="45"/>
      <c r="B206" s="173">
        <v>204</v>
      </c>
      <c r="C206" s="26" t="s">
        <v>1373</v>
      </c>
      <c r="D206" s="116">
        <v>42005</v>
      </c>
      <c r="E206" s="26" t="s">
        <v>1374</v>
      </c>
      <c r="F206" s="26" t="s">
        <v>1375</v>
      </c>
      <c r="G206" s="26" t="s">
        <v>1376</v>
      </c>
      <c r="H206" s="32">
        <v>478.34</v>
      </c>
      <c r="I206" s="173">
        <v>4114380</v>
      </c>
      <c r="J206" s="388">
        <v>8601.3714094577099</v>
      </c>
    </row>
    <row r="207" spans="1:10" ht="13.5" customHeight="1">
      <c r="A207" s="45"/>
      <c r="B207" s="173">
        <v>205</v>
      </c>
      <c r="C207" s="26" t="s">
        <v>1377</v>
      </c>
      <c r="D207" s="116">
        <v>42006</v>
      </c>
      <c r="E207" s="26" t="s">
        <v>1013</v>
      </c>
      <c r="F207" s="26" t="s">
        <v>1340</v>
      </c>
      <c r="G207" s="26" t="s">
        <v>1378</v>
      </c>
      <c r="H207" s="32">
        <v>446.73</v>
      </c>
      <c r="I207" s="173">
        <v>2654580</v>
      </c>
      <c r="J207" s="388">
        <v>5942.24699482909</v>
      </c>
    </row>
    <row r="208" spans="1:10" ht="13.5" customHeight="1">
      <c r="A208" s="45"/>
      <c r="B208" s="173">
        <v>206</v>
      </c>
      <c r="C208" s="26" t="s">
        <v>1379</v>
      </c>
      <c r="D208" s="116">
        <v>42012</v>
      </c>
      <c r="E208" s="26" t="s">
        <v>1099</v>
      </c>
      <c r="F208" s="26" t="s">
        <v>1375</v>
      </c>
      <c r="G208" s="26" t="s">
        <v>1380</v>
      </c>
      <c r="H208" s="32">
        <v>478.34</v>
      </c>
      <c r="I208" s="173">
        <v>3992419</v>
      </c>
      <c r="J208" s="388">
        <v>8346.40423129991</v>
      </c>
    </row>
    <row r="209" spans="1:10" ht="13.5" customHeight="1">
      <c r="A209" s="45"/>
      <c r="B209" s="173">
        <v>207</v>
      </c>
      <c r="C209" s="26" t="s">
        <v>1381</v>
      </c>
      <c r="D209" s="116">
        <v>42017</v>
      </c>
      <c r="E209" s="26" t="s">
        <v>1130</v>
      </c>
      <c r="F209" s="26" t="s">
        <v>1160</v>
      </c>
      <c r="G209" s="26" t="s">
        <v>1382</v>
      </c>
      <c r="H209" s="32">
        <v>297.82</v>
      </c>
      <c r="I209" s="173">
        <v>1704891</v>
      </c>
      <c r="J209" s="388">
        <v>5724.5685313276499</v>
      </c>
    </row>
    <row r="210" spans="1:10" ht="13.5" customHeight="1">
      <c r="A210" s="45"/>
      <c r="B210" s="173">
        <v>208</v>
      </c>
      <c r="C210" s="26" t="s">
        <v>1383</v>
      </c>
      <c r="D210" s="116">
        <v>42055</v>
      </c>
      <c r="E210" s="26" t="s">
        <v>1127</v>
      </c>
      <c r="F210" s="26" t="s">
        <v>1384</v>
      </c>
      <c r="G210" s="26" t="s">
        <v>1385</v>
      </c>
      <c r="H210" s="32">
        <v>461.38</v>
      </c>
      <c r="I210" s="173">
        <v>3237241</v>
      </c>
      <c r="J210" s="388">
        <v>7016.4311413585301</v>
      </c>
    </row>
    <row r="211" spans="1:10" ht="13.5" customHeight="1">
      <c r="A211" s="45"/>
      <c r="B211" s="173">
        <v>209</v>
      </c>
      <c r="C211" s="26" t="s">
        <v>1386</v>
      </c>
      <c r="D211" s="116">
        <v>42058</v>
      </c>
      <c r="E211" s="26" t="s">
        <v>895</v>
      </c>
      <c r="F211" s="26" t="s">
        <v>1253</v>
      </c>
      <c r="G211" s="26" t="s">
        <v>1387</v>
      </c>
      <c r="H211" s="32">
        <v>446.73</v>
      </c>
      <c r="I211" s="173">
        <v>2498426</v>
      </c>
      <c r="J211" s="388">
        <v>5592.69805027645</v>
      </c>
    </row>
    <row r="212" spans="1:10" ht="13.5" customHeight="1">
      <c r="A212" s="45"/>
      <c r="B212" s="173">
        <v>210</v>
      </c>
      <c r="C212" s="26" t="s">
        <v>1388</v>
      </c>
      <c r="D212" s="116">
        <v>42058</v>
      </c>
      <c r="E212" s="26" t="s">
        <v>1076</v>
      </c>
      <c r="F212" s="26" t="s">
        <v>941</v>
      </c>
      <c r="G212" s="26" t="s">
        <v>1389</v>
      </c>
      <c r="H212" s="32">
        <v>446.73</v>
      </c>
      <c r="I212" s="173">
        <v>2699343</v>
      </c>
      <c r="J212" s="388">
        <v>6042.4484588006198</v>
      </c>
    </row>
    <row r="213" spans="1:10" ht="13.5" customHeight="1">
      <c r="A213" s="45"/>
      <c r="B213" s="173">
        <v>211</v>
      </c>
      <c r="C213" s="26" t="s">
        <v>1390</v>
      </c>
      <c r="D213" s="116">
        <v>42067</v>
      </c>
      <c r="E213" s="26" t="s">
        <v>1148</v>
      </c>
      <c r="F213" s="26" t="s">
        <v>1391</v>
      </c>
      <c r="G213" s="26" t="s">
        <v>1392</v>
      </c>
      <c r="H213" s="32">
        <v>461.38</v>
      </c>
      <c r="I213" s="173">
        <v>2573483</v>
      </c>
      <c r="J213" s="388">
        <v>5577.7948762408396</v>
      </c>
    </row>
    <row r="214" spans="1:10" ht="13.5" customHeight="1">
      <c r="A214" s="45"/>
      <c r="B214" s="173">
        <v>212</v>
      </c>
      <c r="C214" s="26" t="s">
        <v>903</v>
      </c>
      <c r="D214" s="116">
        <v>42084</v>
      </c>
      <c r="E214" s="26" t="s">
        <v>1127</v>
      </c>
      <c r="F214" s="26" t="s">
        <v>1393</v>
      </c>
      <c r="G214" s="26" t="s">
        <v>1394</v>
      </c>
      <c r="H214" s="32">
        <v>461.38</v>
      </c>
      <c r="I214" s="173">
        <v>3158146</v>
      </c>
      <c r="J214" s="388">
        <v>6844.9997832589197</v>
      </c>
    </row>
    <row r="215" spans="1:10" ht="13.5" customHeight="1">
      <c r="A215" s="45"/>
      <c r="B215" s="173">
        <v>213</v>
      </c>
      <c r="C215" s="26" t="s">
        <v>1395</v>
      </c>
      <c r="D215" s="116">
        <v>42090</v>
      </c>
      <c r="E215" s="26" t="s">
        <v>1173</v>
      </c>
      <c r="F215" s="26" t="s">
        <v>944</v>
      </c>
      <c r="G215" s="26" t="s">
        <v>1396</v>
      </c>
      <c r="H215" s="32">
        <v>446.73</v>
      </c>
      <c r="I215" s="173">
        <v>2896512</v>
      </c>
      <c r="J215" s="388">
        <v>6483.8090121549903</v>
      </c>
    </row>
    <row r="216" spans="1:10" ht="13.5" customHeight="1">
      <c r="A216" s="45"/>
      <c r="B216" s="173">
        <v>214</v>
      </c>
      <c r="C216" s="26" t="s">
        <v>1397</v>
      </c>
      <c r="D216" s="116">
        <v>42121</v>
      </c>
      <c r="E216" s="26" t="s">
        <v>1374</v>
      </c>
      <c r="F216" s="26" t="s">
        <v>1398</v>
      </c>
      <c r="G216" s="26" t="s">
        <v>1399</v>
      </c>
      <c r="H216" s="32">
        <v>919.12</v>
      </c>
      <c r="I216" s="173">
        <v>4821692</v>
      </c>
      <c r="J216" s="388">
        <v>5245.9874662720904</v>
      </c>
    </row>
    <row r="217" spans="1:10" ht="13.5" customHeight="1">
      <c r="A217" s="45"/>
      <c r="B217" s="173">
        <v>215</v>
      </c>
      <c r="C217" s="26" t="s">
        <v>1400</v>
      </c>
      <c r="D217" s="116">
        <v>42128</v>
      </c>
      <c r="E217" s="26" t="s">
        <v>1076</v>
      </c>
      <c r="F217" s="26" t="s">
        <v>1061</v>
      </c>
      <c r="G217" s="26" t="s">
        <v>1401</v>
      </c>
      <c r="H217" s="32">
        <v>446.73</v>
      </c>
      <c r="I217" s="173">
        <v>2699343</v>
      </c>
      <c r="J217" s="388">
        <v>6042.4484588006198</v>
      </c>
    </row>
    <row r="218" spans="1:10" ht="13.5" customHeight="1">
      <c r="A218" s="45"/>
      <c r="B218" s="173">
        <v>216</v>
      </c>
      <c r="C218" s="26" t="s">
        <v>1402</v>
      </c>
      <c r="D218" s="116">
        <v>42135</v>
      </c>
      <c r="E218" s="26" t="s">
        <v>1239</v>
      </c>
      <c r="F218" s="26" t="s">
        <v>1086</v>
      </c>
      <c r="G218" s="26" t="s">
        <v>1403</v>
      </c>
      <c r="H218" s="32">
        <v>446.73</v>
      </c>
      <c r="I218" s="173">
        <v>3106356</v>
      </c>
      <c r="J218" s="388">
        <v>6953.5424081660103</v>
      </c>
    </row>
    <row r="219" spans="1:10" ht="13.5" customHeight="1">
      <c r="A219" s="45"/>
      <c r="B219" s="173">
        <v>217</v>
      </c>
      <c r="C219" s="26" t="s">
        <v>1404</v>
      </c>
      <c r="D219" s="116">
        <v>42156</v>
      </c>
      <c r="E219" s="26" t="s">
        <v>1091</v>
      </c>
      <c r="F219" s="26" t="s">
        <v>1405</v>
      </c>
      <c r="G219" s="26" t="s">
        <v>1406</v>
      </c>
      <c r="H219" s="32">
        <v>461.38</v>
      </c>
      <c r="I219" s="173">
        <v>3061483</v>
      </c>
      <c r="J219" s="388">
        <v>6635.4913520308601</v>
      </c>
    </row>
    <row r="220" spans="1:10" ht="13.5" customHeight="1">
      <c r="A220" s="45"/>
      <c r="B220" s="173">
        <v>218</v>
      </c>
      <c r="C220" s="26" t="s">
        <v>1407</v>
      </c>
      <c r="D220" s="116">
        <v>42160</v>
      </c>
      <c r="E220" s="26" t="s">
        <v>1130</v>
      </c>
      <c r="F220" s="26" t="s">
        <v>1408</v>
      </c>
      <c r="G220" s="26" t="s">
        <v>1409</v>
      </c>
      <c r="H220" s="32">
        <v>461.38</v>
      </c>
      <c r="I220" s="173">
        <v>3098212</v>
      </c>
      <c r="J220" s="388">
        <v>6715.0981837097397</v>
      </c>
    </row>
    <row r="221" spans="1:10" ht="13.5" customHeight="1">
      <c r="A221" s="45"/>
      <c r="B221" s="173">
        <v>219</v>
      </c>
      <c r="C221" s="26" t="s">
        <v>1410</v>
      </c>
      <c r="D221" s="116">
        <v>42201</v>
      </c>
      <c r="E221" s="26" t="s">
        <v>1148</v>
      </c>
      <c r="F221" s="26" t="s">
        <v>1411</v>
      </c>
      <c r="G221" s="26" t="s">
        <v>1412</v>
      </c>
      <c r="H221" s="32">
        <v>461.38</v>
      </c>
      <c r="I221" s="173">
        <v>3367912</v>
      </c>
      <c r="J221" s="388">
        <v>7299.6488794486104</v>
      </c>
    </row>
    <row r="222" spans="1:10" ht="13.5" customHeight="1">
      <c r="A222" s="45"/>
      <c r="B222" s="173">
        <v>220</v>
      </c>
      <c r="C222" s="26" t="s">
        <v>1413</v>
      </c>
      <c r="D222" s="116">
        <v>42205</v>
      </c>
      <c r="E222" s="26" t="s">
        <v>1239</v>
      </c>
      <c r="F222" s="26" t="s">
        <v>1226</v>
      </c>
      <c r="G222" s="26" t="s">
        <v>1414</v>
      </c>
      <c r="H222" s="32">
        <v>446.73</v>
      </c>
      <c r="I222" s="173">
        <v>3496356</v>
      </c>
      <c r="J222" s="388">
        <v>7826.55295144718</v>
      </c>
    </row>
    <row r="223" spans="1:10" ht="13.5" customHeight="1">
      <c r="A223" s="45"/>
      <c r="B223" s="173">
        <v>221</v>
      </c>
      <c r="C223" s="26" t="s">
        <v>1415</v>
      </c>
      <c r="D223" s="116">
        <v>42213</v>
      </c>
      <c r="E223" s="26" t="s">
        <v>1127</v>
      </c>
      <c r="F223" s="26" t="s">
        <v>1416</v>
      </c>
      <c r="G223" s="26" t="s">
        <v>1417</v>
      </c>
      <c r="H223" s="32">
        <v>461.38</v>
      </c>
      <c r="I223" s="173">
        <v>2357260</v>
      </c>
      <c r="J223" s="388">
        <v>5109.1508084442303</v>
      </c>
    </row>
    <row r="224" spans="1:10" ht="13.5" customHeight="1">
      <c r="A224" s="45"/>
      <c r="B224" s="173">
        <v>222</v>
      </c>
      <c r="C224" s="26" t="s">
        <v>1418</v>
      </c>
      <c r="D224" s="116">
        <v>42221</v>
      </c>
      <c r="E224" s="26" t="s">
        <v>1130</v>
      </c>
      <c r="F224" s="26" t="s">
        <v>1229</v>
      </c>
      <c r="G224" s="26" t="s">
        <v>1419</v>
      </c>
      <c r="H224" s="32">
        <v>297.82</v>
      </c>
      <c r="I224" s="173">
        <v>2094315</v>
      </c>
      <c r="J224" s="388">
        <v>7032.1502921227602</v>
      </c>
    </row>
    <row r="225" spans="1:10" ht="13.5" customHeight="1">
      <c r="A225" s="45"/>
      <c r="B225" s="173">
        <v>223</v>
      </c>
      <c r="C225" s="26" t="s">
        <v>1420</v>
      </c>
      <c r="D225" s="116">
        <v>42228</v>
      </c>
      <c r="E225" s="26" t="s">
        <v>1099</v>
      </c>
      <c r="F225" s="26" t="s">
        <v>1421</v>
      </c>
      <c r="G225" s="26" t="s">
        <v>1422</v>
      </c>
      <c r="H225" s="32">
        <v>919.12</v>
      </c>
      <c r="I225" s="173">
        <v>7497692</v>
      </c>
      <c r="J225" s="388">
        <v>8157.46801288189</v>
      </c>
    </row>
    <row r="226" spans="1:10" ht="13.5" customHeight="1">
      <c r="A226" s="45"/>
      <c r="B226" s="173">
        <v>224</v>
      </c>
      <c r="C226" s="26" t="s">
        <v>903</v>
      </c>
      <c r="D226" s="116">
        <v>42233</v>
      </c>
      <c r="E226" s="26" t="s">
        <v>1127</v>
      </c>
      <c r="F226" s="26" t="s">
        <v>1423</v>
      </c>
      <c r="G226" s="26" t="s">
        <v>1424</v>
      </c>
      <c r="H226" s="32">
        <v>461.38</v>
      </c>
      <c r="I226" s="173">
        <v>2319732</v>
      </c>
      <c r="J226" s="388">
        <v>5027.8122155273304</v>
      </c>
    </row>
    <row r="227" spans="1:10" ht="13.5" customHeight="1">
      <c r="A227" s="45"/>
      <c r="B227" s="173">
        <v>225</v>
      </c>
      <c r="C227" s="26" t="s">
        <v>1425</v>
      </c>
      <c r="D227" s="116">
        <v>42233</v>
      </c>
      <c r="E227" s="26" t="s">
        <v>1127</v>
      </c>
      <c r="F227" s="26" t="s">
        <v>1426</v>
      </c>
      <c r="G227" s="26" t="s">
        <v>1427</v>
      </c>
      <c r="H227" s="32">
        <v>461.38</v>
      </c>
      <c r="I227" s="173">
        <v>2319732</v>
      </c>
      <c r="J227" s="388">
        <v>5027.8122155273304</v>
      </c>
    </row>
    <row r="228" spans="1:10" ht="13.5" customHeight="1">
      <c r="A228" s="45"/>
      <c r="B228" s="173">
        <v>226</v>
      </c>
      <c r="C228" s="26" t="s">
        <v>1428</v>
      </c>
      <c r="D228" s="116">
        <v>42235</v>
      </c>
      <c r="E228" s="26" t="s">
        <v>1127</v>
      </c>
      <c r="F228" s="26" t="s">
        <v>1429</v>
      </c>
      <c r="G228" s="26" t="s">
        <v>1430</v>
      </c>
      <c r="H228" s="32">
        <v>461.38</v>
      </c>
      <c r="I228" s="173">
        <v>3158146</v>
      </c>
      <c r="J228" s="388">
        <v>6844.9997832589197</v>
      </c>
    </row>
    <row r="229" spans="1:10" ht="13.5" customHeight="1">
      <c r="A229" s="45"/>
      <c r="B229" s="173">
        <v>227</v>
      </c>
      <c r="C229" s="26" t="s">
        <v>1431</v>
      </c>
      <c r="D229" s="116">
        <v>42237</v>
      </c>
      <c r="E229" s="26" t="s">
        <v>1148</v>
      </c>
      <c r="F229" s="26" t="s">
        <v>901</v>
      </c>
      <c r="G229" s="26" t="s">
        <v>1432</v>
      </c>
      <c r="H229" s="32">
        <v>297.82</v>
      </c>
      <c r="I229" s="173">
        <v>2034429</v>
      </c>
      <c r="J229" s="388">
        <v>6831.0691021422299</v>
      </c>
    </row>
    <row r="230" spans="1:10" ht="13.5" customHeight="1">
      <c r="A230" s="45"/>
      <c r="B230" s="173">
        <v>228</v>
      </c>
      <c r="C230" s="26" t="s">
        <v>1433</v>
      </c>
      <c r="D230" s="116">
        <v>42244</v>
      </c>
      <c r="E230" s="26" t="s">
        <v>1091</v>
      </c>
      <c r="F230" s="26" t="s">
        <v>1416</v>
      </c>
      <c r="G230" s="26" t="s">
        <v>1434</v>
      </c>
      <c r="H230" s="32">
        <v>461.38</v>
      </c>
      <c r="I230" s="173">
        <v>3158146</v>
      </c>
      <c r="J230" s="388">
        <v>6844.9997832589197</v>
      </c>
    </row>
    <row r="231" spans="1:10" ht="13.5" customHeight="1">
      <c r="A231" s="45"/>
      <c r="B231" s="173">
        <v>229</v>
      </c>
      <c r="C231" s="26" t="s">
        <v>1435</v>
      </c>
      <c r="D231" s="389">
        <v>42247</v>
      </c>
      <c r="E231" s="26" t="s">
        <v>1127</v>
      </c>
      <c r="F231" s="26" t="s">
        <v>1436</v>
      </c>
      <c r="G231" s="26" t="s">
        <v>1437</v>
      </c>
      <c r="H231" s="89">
        <v>461.38</v>
      </c>
      <c r="I231" s="173">
        <v>3158146</v>
      </c>
      <c r="J231" s="388">
        <v>6844.9997832589197</v>
      </c>
    </row>
    <row r="232" spans="1:10" ht="13.5" customHeight="1">
      <c r="A232" s="45"/>
      <c r="B232" s="173">
        <v>230</v>
      </c>
      <c r="C232" s="26" t="s">
        <v>1438</v>
      </c>
      <c r="D232" s="116">
        <v>42262</v>
      </c>
      <c r="E232" s="26" t="s">
        <v>895</v>
      </c>
      <c r="F232" s="26" t="s">
        <v>1116</v>
      </c>
      <c r="G232" s="26" t="s">
        <v>1439</v>
      </c>
      <c r="H232" s="32">
        <v>446.73</v>
      </c>
      <c r="I232" s="173">
        <v>2300000</v>
      </c>
      <c r="J232" s="388">
        <v>5148.5237167864298</v>
      </c>
    </row>
    <row r="233" spans="1:10" ht="13.5" customHeight="1">
      <c r="A233" s="45"/>
      <c r="B233" s="173">
        <v>231</v>
      </c>
      <c r="C233" s="26" t="s">
        <v>1440</v>
      </c>
      <c r="D233" s="116">
        <v>42264</v>
      </c>
      <c r="E233" s="26" t="s">
        <v>1099</v>
      </c>
      <c r="F233" s="26" t="s">
        <v>1441</v>
      </c>
      <c r="G233" s="26" t="s">
        <v>1442</v>
      </c>
      <c r="H233" s="32">
        <v>919.12</v>
      </c>
      <c r="I233" s="173">
        <v>6621692</v>
      </c>
      <c r="J233" s="388">
        <v>7204.3824527809202</v>
      </c>
    </row>
    <row r="234" spans="1:10" ht="13.5" customHeight="1">
      <c r="A234" s="45"/>
      <c r="B234" s="173">
        <v>232</v>
      </c>
      <c r="C234" s="26" t="s">
        <v>1443</v>
      </c>
      <c r="D234" s="116">
        <v>42268</v>
      </c>
      <c r="E234" s="26" t="s">
        <v>1112</v>
      </c>
      <c r="F234" s="26" t="s">
        <v>1444</v>
      </c>
      <c r="G234" s="26" t="s">
        <v>1445</v>
      </c>
      <c r="H234" s="32">
        <v>1065.49</v>
      </c>
      <c r="I234" s="173">
        <v>8872922</v>
      </c>
      <c r="J234" s="388">
        <v>8327.5507043707603</v>
      </c>
    </row>
    <row r="235" spans="1:10" ht="13.5" customHeight="1">
      <c r="A235" s="45"/>
      <c r="B235" s="173">
        <v>233</v>
      </c>
      <c r="C235" s="26" t="s">
        <v>1446</v>
      </c>
      <c r="D235" s="116">
        <v>42275</v>
      </c>
      <c r="E235" s="26" t="s">
        <v>1130</v>
      </c>
      <c r="F235" s="26" t="s">
        <v>1226</v>
      </c>
      <c r="G235" s="26" t="s">
        <v>1447</v>
      </c>
      <c r="H235" s="32">
        <v>297.82</v>
      </c>
      <c r="I235" s="173">
        <v>2094315</v>
      </c>
      <c r="J235" s="388">
        <v>7032.1502921227602</v>
      </c>
    </row>
    <row r="236" spans="1:10" ht="13.5" customHeight="1">
      <c r="A236" s="45"/>
      <c r="B236" s="173">
        <v>234</v>
      </c>
      <c r="C236" s="26" t="s">
        <v>1448</v>
      </c>
      <c r="D236" s="116">
        <v>42305</v>
      </c>
      <c r="E236" s="26" t="s">
        <v>1130</v>
      </c>
      <c r="F236" s="26" t="s">
        <v>1449</v>
      </c>
      <c r="G236" s="26" t="s">
        <v>1450</v>
      </c>
      <c r="H236" s="32">
        <v>461.38</v>
      </c>
      <c r="I236" s="173">
        <v>3076483</v>
      </c>
      <c r="J236" s="388">
        <v>6668.0025141965398</v>
      </c>
    </row>
    <row r="237" spans="1:10" ht="13.5" customHeight="1">
      <c r="A237" s="45"/>
      <c r="B237" s="173">
        <v>235</v>
      </c>
      <c r="C237" s="26" t="s">
        <v>1451</v>
      </c>
      <c r="D237" s="116">
        <v>42305</v>
      </c>
      <c r="E237" s="26" t="s">
        <v>1130</v>
      </c>
      <c r="F237" s="26" t="s">
        <v>1452</v>
      </c>
      <c r="G237" s="26" t="s">
        <v>1453</v>
      </c>
      <c r="H237" s="32">
        <v>461.38</v>
      </c>
      <c r="I237" s="173">
        <v>3076483</v>
      </c>
      <c r="J237" s="388">
        <v>6668.0025141965398</v>
      </c>
    </row>
    <row r="238" spans="1:10" ht="13.5" customHeight="1">
      <c r="A238" s="45"/>
      <c r="B238" s="173">
        <v>236</v>
      </c>
      <c r="C238" s="26" t="s">
        <v>1454</v>
      </c>
      <c r="D238" s="116">
        <v>42305</v>
      </c>
      <c r="E238" s="26" t="s">
        <v>1127</v>
      </c>
      <c r="F238" s="26" t="s">
        <v>1405</v>
      </c>
      <c r="G238" s="26" t="s">
        <v>1455</v>
      </c>
      <c r="H238" s="32">
        <v>461.38</v>
      </c>
      <c r="I238" s="173">
        <v>3082572</v>
      </c>
      <c r="J238" s="388">
        <v>6681.1998786249897</v>
      </c>
    </row>
    <row r="239" spans="1:10" ht="13.5" customHeight="1">
      <c r="A239" s="45"/>
      <c r="B239" s="173">
        <v>237</v>
      </c>
      <c r="C239" s="26" t="s">
        <v>1456</v>
      </c>
      <c r="D239" s="116">
        <v>42305</v>
      </c>
      <c r="E239" s="26" t="s">
        <v>1127</v>
      </c>
      <c r="F239" s="26" t="s">
        <v>1204</v>
      </c>
      <c r="G239" s="26" t="s">
        <v>1457</v>
      </c>
      <c r="H239" s="32">
        <v>297.82</v>
      </c>
      <c r="I239" s="173">
        <v>1585237</v>
      </c>
      <c r="J239" s="388">
        <v>5322.8023638439299</v>
      </c>
    </row>
    <row r="240" spans="1:10" ht="13.5" customHeight="1">
      <c r="A240" s="45"/>
      <c r="B240" s="173">
        <v>238</v>
      </c>
      <c r="C240" s="26" t="s">
        <v>1458</v>
      </c>
      <c r="D240" s="116">
        <v>42305</v>
      </c>
      <c r="E240" s="26" t="s">
        <v>1239</v>
      </c>
      <c r="F240" s="26" t="s">
        <v>1025</v>
      </c>
      <c r="G240" s="26" t="s">
        <v>1459</v>
      </c>
      <c r="H240" s="32">
        <v>446.73</v>
      </c>
      <c r="I240" s="173">
        <v>3368856</v>
      </c>
      <c r="J240" s="388">
        <v>7541.1456584514099</v>
      </c>
    </row>
    <row r="241" spans="1:10" ht="13.5" customHeight="1">
      <c r="A241" s="45"/>
      <c r="B241" s="173">
        <v>239</v>
      </c>
      <c r="C241" s="26" t="s">
        <v>1460</v>
      </c>
      <c r="D241" s="116">
        <v>42310</v>
      </c>
      <c r="E241" s="26" t="s">
        <v>1091</v>
      </c>
      <c r="F241" s="26" t="s">
        <v>1384</v>
      </c>
      <c r="G241" s="26" t="s">
        <v>1461</v>
      </c>
      <c r="H241" s="32">
        <v>461.38</v>
      </c>
      <c r="I241" s="173">
        <v>3204284</v>
      </c>
      <c r="J241" s="388">
        <v>6944.9997832589197</v>
      </c>
    </row>
    <row r="242" spans="1:10" ht="13.5" customHeight="1">
      <c r="A242" s="45"/>
      <c r="B242" s="173">
        <v>240</v>
      </c>
      <c r="C242" s="26" t="s">
        <v>1462</v>
      </c>
      <c r="D242" s="116">
        <v>42321</v>
      </c>
      <c r="E242" s="26" t="s">
        <v>1130</v>
      </c>
      <c r="F242" s="26" t="s">
        <v>1463</v>
      </c>
      <c r="G242" s="26" t="s">
        <v>1464</v>
      </c>
      <c r="H242" s="32">
        <v>461.38</v>
      </c>
      <c r="I242" s="173">
        <v>3337280</v>
      </c>
      <c r="J242" s="388">
        <v>7233.2567514846796</v>
      </c>
    </row>
    <row r="243" spans="1:10" ht="13.5" customHeight="1">
      <c r="A243" s="45"/>
      <c r="B243" s="173">
        <v>241</v>
      </c>
      <c r="C243" s="26" t="s">
        <v>1379</v>
      </c>
      <c r="D243" s="116">
        <v>42322</v>
      </c>
      <c r="E243" s="26" t="s">
        <v>1099</v>
      </c>
      <c r="F243" s="26" t="s">
        <v>1465</v>
      </c>
      <c r="G243" s="26" t="s">
        <v>1466</v>
      </c>
      <c r="H243" s="32">
        <v>467</v>
      </c>
      <c r="I243" s="173">
        <v>3874521</v>
      </c>
      <c r="J243" s="388">
        <v>8296.6188436830798</v>
      </c>
    </row>
    <row r="244" spans="1:10" ht="13.5" customHeight="1">
      <c r="A244" s="45"/>
      <c r="B244" s="173">
        <v>242</v>
      </c>
      <c r="C244" s="26" t="s">
        <v>1467</v>
      </c>
      <c r="D244" s="116">
        <v>42324</v>
      </c>
      <c r="E244" s="26" t="s">
        <v>1091</v>
      </c>
      <c r="F244" s="26" t="s">
        <v>1423</v>
      </c>
      <c r="G244" s="26" t="s">
        <v>1468</v>
      </c>
      <c r="H244" s="32">
        <v>461.38</v>
      </c>
      <c r="I244" s="173">
        <v>3278592</v>
      </c>
      <c r="J244" s="388">
        <v>7106.0557458060603</v>
      </c>
    </row>
    <row r="245" spans="1:10" ht="13.5" customHeight="1">
      <c r="A245" s="45"/>
      <c r="B245" s="173">
        <v>243</v>
      </c>
      <c r="C245" s="26" t="s">
        <v>1469</v>
      </c>
      <c r="D245" s="116">
        <v>42335</v>
      </c>
      <c r="E245" s="26" t="s">
        <v>1112</v>
      </c>
      <c r="F245" s="26" t="s">
        <v>1470</v>
      </c>
      <c r="G245" s="26" t="s">
        <v>1471</v>
      </c>
      <c r="H245" s="32">
        <v>919.12</v>
      </c>
      <c r="I245" s="173">
        <v>5253568</v>
      </c>
      <c r="J245" s="388">
        <v>5715.8673513795802</v>
      </c>
    </row>
    <row r="246" spans="1:10" ht="13.5" customHeight="1">
      <c r="A246" s="45"/>
      <c r="B246" s="173">
        <v>244</v>
      </c>
      <c r="C246" s="26" t="s">
        <v>1472</v>
      </c>
      <c r="D246" s="116">
        <v>42335</v>
      </c>
      <c r="E246" s="26" t="s">
        <v>1130</v>
      </c>
      <c r="F246" s="26" t="s">
        <v>1391</v>
      </c>
      <c r="G246" s="26" t="s">
        <v>1473</v>
      </c>
      <c r="H246" s="32">
        <v>461.38</v>
      </c>
      <c r="I246" s="173">
        <v>3204284</v>
      </c>
      <c r="J246" s="388">
        <v>6944.9997832589197</v>
      </c>
    </row>
    <row r="247" spans="1:10" ht="13.5" customHeight="1">
      <c r="A247" s="45"/>
      <c r="B247" s="173">
        <v>245</v>
      </c>
      <c r="C247" s="26" t="s">
        <v>1474</v>
      </c>
      <c r="D247" s="116">
        <v>42336</v>
      </c>
      <c r="E247" s="26" t="s">
        <v>1127</v>
      </c>
      <c r="F247" s="26" t="s">
        <v>1475</v>
      </c>
      <c r="G247" s="26" t="s">
        <v>1476</v>
      </c>
      <c r="H247" s="32">
        <v>461.38</v>
      </c>
      <c r="I247" s="173">
        <v>3532901</v>
      </c>
      <c r="J247" s="388">
        <v>7657.2478217521302</v>
      </c>
    </row>
    <row r="248" spans="1:10" ht="13.5" customHeight="1">
      <c r="A248" s="45"/>
      <c r="B248" s="173">
        <v>246</v>
      </c>
      <c r="C248" s="26" t="s">
        <v>1477</v>
      </c>
      <c r="D248" s="116">
        <v>42339</v>
      </c>
      <c r="E248" s="26" t="s">
        <v>1130</v>
      </c>
      <c r="F248" s="26" t="s">
        <v>1036</v>
      </c>
      <c r="G248" s="26" t="s">
        <v>1478</v>
      </c>
      <c r="H248" s="32">
        <v>297.82</v>
      </c>
      <c r="I248" s="173">
        <v>1814891</v>
      </c>
      <c r="J248" s="388">
        <v>6093.91914579276</v>
      </c>
    </row>
    <row r="249" spans="1:10" ht="13.5" customHeight="1">
      <c r="A249" s="45"/>
      <c r="B249" s="173">
        <v>247</v>
      </c>
      <c r="C249" s="26" t="s">
        <v>1479</v>
      </c>
      <c r="D249" s="116">
        <v>42345</v>
      </c>
      <c r="E249" s="26" t="s">
        <v>1112</v>
      </c>
      <c r="F249" s="26" t="s">
        <v>1375</v>
      </c>
      <c r="G249" s="26" t="s">
        <v>1480</v>
      </c>
      <c r="H249" s="32">
        <v>478.34</v>
      </c>
      <c r="I249" s="173">
        <v>7773907</v>
      </c>
      <c r="J249" s="388">
        <v>16251.8438767404</v>
      </c>
    </row>
    <row r="250" spans="1:10" ht="13.5" customHeight="1">
      <c r="A250" s="45"/>
      <c r="B250" s="173">
        <v>248</v>
      </c>
      <c r="C250" s="26" t="s">
        <v>1481</v>
      </c>
      <c r="D250" s="116">
        <v>42347</v>
      </c>
      <c r="E250" s="26" t="s">
        <v>1130</v>
      </c>
      <c r="F250" s="26" t="s">
        <v>1482</v>
      </c>
      <c r="G250" s="26" t="s">
        <v>1483</v>
      </c>
      <c r="H250" s="32">
        <v>461.38</v>
      </c>
      <c r="I250" s="173">
        <v>2331127</v>
      </c>
      <c r="J250" s="388">
        <v>5052.5098617191898</v>
      </c>
    </row>
    <row r="251" spans="1:10" ht="13.5" customHeight="1">
      <c r="A251" s="45"/>
      <c r="B251" s="173">
        <v>249</v>
      </c>
      <c r="C251" s="26" t="s">
        <v>1484</v>
      </c>
      <c r="D251" s="116">
        <v>42348</v>
      </c>
      <c r="E251" s="26" t="s">
        <v>1091</v>
      </c>
      <c r="F251" s="26" t="s">
        <v>1485</v>
      </c>
      <c r="G251" s="26" t="s">
        <v>1486</v>
      </c>
      <c r="H251" s="32">
        <v>461.38</v>
      </c>
      <c r="I251" s="173">
        <v>3158146</v>
      </c>
      <c r="J251" s="388">
        <v>6844.9997832589197</v>
      </c>
    </row>
    <row r="252" spans="1:10" ht="13.5" customHeight="1">
      <c r="A252" s="45"/>
      <c r="B252" s="173">
        <v>250</v>
      </c>
      <c r="C252" s="26" t="s">
        <v>1487</v>
      </c>
      <c r="D252" s="116">
        <v>42350</v>
      </c>
      <c r="E252" s="26" t="s">
        <v>1148</v>
      </c>
      <c r="F252" s="26" t="s">
        <v>1384</v>
      </c>
      <c r="G252" s="26" t="s">
        <v>1488</v>
      </c>
      <c r="H252" s="32">
        <v>461.38</v>
      </c>
      <c r="I252" s="173">
        <v>3204284</v>
      </c>
      <c r="J252" s="388">
        <v>6944.9997832589197</v>
      </c>
    </row>
    <row r="253" spans="1:10" ht="13.5" customHeight="1">
      <c r="A253" s="45"/>
      <c r="B253" s="173">
        <v>251</v>
      </c>
      <c r="C253" s="26" t="s">
        <v>1487</v>
      </c>
      <c r="D253" s="116">
        <v>42350</v>
      </c>
      <c r="E253" s="26" t="s">
        <v>1148</v>
      </c>
      <c r="F253" s="26" t="s">
        <v>1452</v>
      </c>
      <c r="G253" s="26" t="s">
        <v>1489</v>
      </c>
      <c r="H253" s="32">
        <v>461.38</v>
      </c>
      <c r="I253" s="173">
        <v>3204284</v>
      </c>
      <c r="J253" s="388">
        <v>6944.9997832589197</v>
      </c>
    </row>
    <row r="254" spans="1:10" ht="13.5" customHeight="1">
      <c r="A254" s="45"/>
      <c r="B254" s="173">
        <v>252</v>
      </c>
      <c r="C254" s="26" t="s">
        <v>1490</v>
      </c>
      <c r="D254" s="116">
        <v>42353</v>
      </c>
      <c r="E254" s="26" t="s">
        <v>1148</v>
      </c>
      <c r="F254" s="26" t="s">
        <v>1485</v>
      </c>
      <c r="G254" s="26" t="s">
        <v>1491</v>
      </c>
      <c r="H254" s="32">
        <v>461.38</v>
      </c>
      <c r="I254" s="173">
        <v>3036930</v>
      </c>
      <c r="J254" s="388">
        <v>6582.2749143872697</v>
      </c>
    </row>
    <row r="255" spans="1:10" ht="13.5" customHeight="1">
      <c r="A255" s="45"/>
      <c r="B255" s="173">
        <v>253</v>
      </c>
      <c r="C255" s="26" t="s">
        <v>1492</v>
      </c>
      <c r="D255" s="116">
        <v>42366</v>
      </c>
      <c r="E255" s="26" t="s">
        <v>1127</v>
      </c>
      <c r="F255" s="26" t="s">
        <v>978</v>
      </c>
      <c r="G255" s="26" t="s">
        <v>1493</v>
      </c>
      <c r="H255" s="32">
        <v>297.82</v>
      </c>
      <c r="I255" s="173">
        <v>2001321</v>
      </c>
      <c r="J255" s="388">
        <v>6719.9012826539501</v>
      </c>
    </row>
    <row r="256" spans="1:10" ht="13.5" customHeight="1">
      <c r="A256" s="45"/>
      <c r="B256" s="173">
        <v>254</v>
      </c>
      <c r="C256" s="26" t="s">
        <v>1492</v>
      </c>
      <c r="D256" s="116">
        <v>42366</v>
      </c>
      <c r="E256" s="26" t="s">
        <v>1302</v>
      </c>
      <c r="F256" s="26" t="s">
        <v>1494</v>
      </c>
      <c r="G256" s="26" t="s">
        <v>1495</v>
      </c>
      <c r="H256" s="32">
        <v>446.73</v>
      </c>
      <c r="I256" s="173">
        <v>2946185</v>
      </c>
      <c r="J256" s="388">
        <v>6595.0014550175702</v>
      </c>
    </row>
    <row r="257" spans="1:10" ht="13.5" customHeight="1">
      <c r="A257" s="45"/>
      <c r="B257" s="173">
        <v>255</v>
      </c>
      <c r="C257" s="26" t="s">
        <v>1496</v>
      </c>
      <c r="D257" s="116">
        <v>42367</v>
      </c>
      <c r="E257" s="26" t="s">
        <v>1374</v>
      </c>
      <c r="F257" s="26" t="s">
        <v>1359</v>
      </c>
      <c r="G257" s="26" t="s">
        <v>1497</v>
      </c>
      <c r="H257" s="32">
        <v>919.12</v>
      </c>
      <c r="I257" s="173">
        <v>5221692</v>
      </c>
      <c r="J257" s="388">
        <v>5681.1863521629402</v>
      </c>
    </row>
    <row r="258" spans="1:10" ht="13.5" customHeight="1">
      <c r="A258" s="45"/>
      <c r="B258" s="173">
        <v>256</v>
      </c>
      <c r="C258" s="26" t="s">
        <v>1498</v>
      </c>
      <c r="D258" s="116">
        <v>42375</v>
      </c>
      <c r="E258" s="26" t="s">
        <v>1148</v>
      </c>
      <c r="F258" s="26" t="s">
        <v>1393</v>
      </c>
      <c r="G258" s="26" t="s">
        <v>1499</v>
      </c>
      <c r="H258" s="32">
        <v>461.38</v>
      </c>
      <c r="I258" s="173">
        <v>3163396</v>
      </c>
      <c r="J258" s="388">
        <v>6856.3786900169098</v>
      </c>
    </row>
    <row r="259" spans="1:10" ht="13.5" customHeight="1">
      <c r="A259" s="45"/>
      <c r="B259" s="173">
        <v>257</v>
      </c>
      <c r="C259" s="26" t="s">
        <v>1500</v>
      </c>
      <c r="D259" s="116">
        <v>42392</v>
      </c>
      <c r="E259" s="26" t="s">
        <v>1302</v>
      </c>
      <c r="F259" s="26" t="s">
        <v>1501</v>
      </c>
      <c r="G259" s="26" t="s">
        <v>1502</v>
      </c>
      <c r="H259" s="32">
        <v>446.73</v>
      </c>
      <c r="I259" s="173">
        <v>2301185</v>
      </c>
      <c r="J259" s="388">
        <v>5151.1763257448602</v>
      </c>
    </row>
    <row r="260" spans="1:10" ht="13.5" customHeight="1">
      <c r="A260" s="45"/>
      <c r="B260" s="173">
        <v>258</v>
      </c>
      <c r="C260" s="26" t="s">
        <v>1503</v>
      </c>
      <c r="D260" s="116">
        <v>42392</v>
      </c>
      <c r="E260" s="26" t="s">
        <v>1109</v>
      </c>
      <c r="F260" s="26" t="s">
        <v>930</v>
      </c>
      <c r="G260" s="26" t="s">
        <v>1504</v>
      </c>
      <c r="H260" s="32">
        <v>950</v>
      </c>
      <c r="I260" s="173">
        <v>6767852</v>
      </c>
      <c r="J260" s="388">
        <v>7124.0547368421003</v>
      </c>
    </row>
    <row r="261" spans="1:10" ht="13.5" customHeight="1">
      <c r="A261" s="45"/>
      <c r="B261" s="173">
        <v>259</v>
      </c>
      <c r="C261" s="26" t="s">
        <v>1505</v>
      </c>
      <c r="D261" s="116">
        <v>42398</v>
      </c>
      <c r="E261" s="26" t="s">
        <v>1127</v>
      </c>
      <c r="F261" s="26" t="s">
        <v>1391</v>
      </c>
      <c r="G261" s="26" t="s">
        <v>1506</v>
      </c>
      <c r="H261" s="32">
        <v>461.38</v>
      </c>
      <c r="I261" s="173">
        <v>3204284</v>
      </c>
      <c r="J261" s="388">
        <v>6944.9997832589197</v>
      </c>
    </row>
    <row r="262" spans="1:10" ht="13.5" customHeight="1">
      <c r="A262" s="45"/>
      <c r="B262" s="173">
        <v>260</v>
      </c>
      <c r="C262" s="26" t="s">
        <v>1507</v>
      </c>
      <c r="D262" s="389">
        <v>42398</v>
      </c>
      <c r="E262" s="26" t="s">
        <v>1239</v>
      </c>
      <c r="F262" s="26" t="s">
        <v>950</v>
      </c>
      <c r="G262" s="26" t="s">
        <v>1508</v>
      </c>
      <c r="H262" s="89">
        <v>446.73</v>
      </c>
      <c r="I262" s="173">
        <v>3496356</v>
      </c>
      <c r="J262" s="388">
        <v>7826.55295144718</v>
      </c>
    </row>
    <row r="263" spans="1:10" ht="13.5" customHeight="1">
      <c r="A263" s="45"/>
      <c r="B263" s="173">
        <v>261</v>
      </c>
      <c r="C263" s="26" t="s">
        <v>1509</v>
      </c>
      <c r="D263" s="116">
        <v>42417</v>
      </c>
      <c r="E263" s="26" t="s">
        <v>1374</v>
      </c>
      <c r="F263" s="26" t="s">
        <v>1510</v>
      </c>
      <c r="G263" s="26" t="s">
        <v>1511</v>
      </c>
      <c r="H263" s="32">
        <v>1197</v>
      </c>
      <c r="I263" s="173">
        <v>8218950</v>
      </c>
      <c r="J263" s="388">
        <v>6866.2907268170402</v>
      </c>
    </row>
    <row r="264" spans="1:10" ht="13.5" customHeight="1">
      <c r="A264" s="45"/>
      <c r="B264" s="173">
        <v>262</v>
      </c>
      <c r="C264" s="26" t="s">
        <v>1512</v>
      </c>
      <c r="D264" s="116">
        <v>42434</v>
      </c>
      <c r="E264" s="26" t="s">
        <v>1239</v>
      </c>
      <c r="F264" s="26" t="s">
        <v>944</v>
      </c>
      <c r="G264" s="26" t="s">
        <v>1513</v>
      </c>
      <c r="H264" s="32">
        <v>446.73</v>
      </c>
      <c r="I264" s="173">
        <v>3180856</v>
      </c>
      <c r="J264" s="388">
        <v>7120.3098068184399</v>
      </c>
    </row>
    <row r="265" spans="1:10" ht="13.5" customHeight="1">
      <c r="A265" s="45"/>
      <c r="B265" s="173">
        <v>263</v>
      </c>
      <c r="C265" s="26" t="s">
        <v>1514</v>
      </c>
      <c r="D265" s="116">
        <v>42440</v>
      </c>
      <c r="E265" s="26" t="s">
        <v>1127</v>
      </c>
      <c r="F265" s="26" t="s">
        <v>1449</v>
      </c>
      <c r="G265" s="26" t="s">
        <v>1515</v>
      </c>
      <c r="H265" s="32">
        <v>461.38</v>
      </c>
      <c r="I265" s="173">
        <v>3204284</v>
      </c>
      <c r="J265" s="388">
        <v>6944.9997832589197</v>
      </c>
    </row>
    <row r="266" spans="1:10" ht="13.5" customHeight="1">
      <c r="A266" s="45"/>
      <c r="B266" s="173">
        <v>264</v>
      </c>
      <c r="C266" s="26" t="s">
        <v>1516</v>
      </c>
      <c r="D266" s="116">
        <v>42447</v>
      </c>
      <c r="E266" s="26" t="s">
        <v>1091</v>
      </c>
      <c r="F266" s="26" t="s">
        <v>1408</v>
      </c>
      <c r="G266" s="26" t="s">
        <v>1517</v>
      </c>
      <c r="H266" s="32">
        <v>461.38</v>
      </c>
      <c r="I266" s="173">
        <v>3204284</v>
      </c>
      <c r="J266" s="388">
        <v>6944.9997832589197</v>
      </c>
    </row>
    <row r="267" spans="1:10" ht="13.5" customHeight="1">
      <c r="A267" s="45"/>
      <c r="B267" s="173">
        <v>265</v>
      </c>
      <c r="C267" s="26" t="s">
        <v>1518</v>
      </c>
      <c r="D267" s="116">
        <v>42450</v>
      </c>
      <c r="E267" s="26" t="s">
        <v>1302</v>
      </c>
      <c r="F267" s="26" t="s">
        <v>1519</v>
      </c>
      <c r="G267" s="26" t="s">
        <v>1520</v>
      </c>
      <c r="H267" s="32">
        <v>446.73</v>
      </c>
      <c r="I267" s="173">
        <v>2587772</v>
      </c>
      <c r="J267" s="388">
        <v>5792.69805027645</v>
      </c>
    </row>
    <row r="268" spans="1:10" ht="13.5" customHeight="1">
      <c r="A268" s="45"/>
      <c r="B268" s="173">
        <v>266</v>
      </c>
      <c r="C268" s="26" t="s">
        <v>1521</v>
      </c>
      <c r="D268" s="116">
        <v>42450</v>
      </c>
      <c r="E268" s="26" t="s">
        <v>1239</v>
      </c>
      <c r="F268" s="26" t="s">
        <v>1053</v>
      </c>
      <c r="G268" s="26" t="s">
        <v>1522</v>
      </c>
      <c r="H268" s="32">
        <v>446.73</v>
      </c>
      <c r="I268" s="173">
        <v>3246356</v>
      </c>
      <c r="J268" s="388">
        <v>7266.9308083182204</v>
      </c>
    </row>
    <row r="269" spans="1:10" ht="13.5" customHeight="1">
      <c r="A269" s="45"/>
      <c r="B269" s="173">
        <v>267</v>
      </c>
      <c r="C269" s="26" t="s">
        <v>1523</v>
      </c>
      <c r="D269" s="116">
        <v>42450</v>
      </c>
      <c r="E269" s="26" t="s">
        <v>1239</v>
      </c>
      <c r="F269" s="26" t="s">
        <v>964</v>
      </c>
      <c r="G269" s="26" t="s">
        <v>1524</v>
      </c>
      <c r="H269" s="32">
        <v>446.73</v>
      </c>
      <c r="I269" s="173">
        <v>3131356</v>
      </c>
      <c r="J269" s="388">
        <v>7009.5046224789003</v>
      </c>
    </row>
    <row r="270" spans="1:10" ht="13.5" customHeight="1">
      <c r="A270" s="45"/>
      <c r="B270" s="173">
        <v>268</v>
      </c>
      <c r="C270" s="26" t="s">
        <v>1525</v>
      </c>
      <c r="D270" s="116">
        <v>42460</v>
      </c>
      <c r="E270" s="26" t="s">
        <v>1109</v>
      </c>
      <c r="F270" s="26" t="s">
        <v>1234</v>
      </c>
      <c r="G270" s="26" t="s">
        <v>1526</v>
      </c>
      <c r="H270" s="32">
        <v>712.49</v>
      </c>
      <c r="I270" s="173">
        <v>4621847</v>
      </c>
      <c r="J270" s="388">
        <v>6486.89385114177</v>
      </c>
    </row>
    <row r="271" spans="1:10" ht="13.5" customHeight="1">
      <c r="A271" s="45"/>
      <c r="B271" s="173">
        <v>269</v>
      </c>
      <c r="C271" s="26" t="s">
        <v>1512</v>
      </c>
      <c r="D271" s="116">
        <v>42464</v>
      </c>
      <c r="E271" s="26" t="s">
        <v>1239</v>
      </c>
      <c r="F271" s="26" t="s">
        <v>1160</v>
      </c>
      <c r="G271" s="26" t="s">
        <v>1527</v>
      </c>
      <c r="H271" s="32">
        <v>446.73</v>
      </c>
      <c r="I271" s="173">
        <v>3372256</v>
      </c>
      <c r="J271" s="388">
        <v>7548.7565195979696</v>
      </c>
    </row>
    <row r="272" spans="1:10" ht="13.5" customHeight="1">
      <c r="A272" s="45"/>
      <c r="B272" s="173">
        <v>270</v>
      </c>
      <c r="C272" s="26" t="s">
        <v>1528</v>
      </c>
      <c r="D272" s="116">
        <v>42464</v>
      </c>
      <c r="E272" s="26" t="s">
        <v>1127</v>
      </c>
      <c r="F272" s="26" t="s">
        <v>1463</v>
      </c>
      <c r="G272" s="26" t="s">
        <v>1529</v>
      </c>
      <c r="H272" s="32">
        <v>461.38</v>
      </c>
      <c r="I272" s="173">
        <v>3564901</v>
      </c>
      <c r="J272" s="388">
        <v>7726.6049677055798</v>
      </c>
    </row>
    <row r="273" spans="1:10" ht="13.5" customHeight="1">
      <c r="A273" s="45"/>
      <c r="B273" s="173">
        <v>271</v>
      </c>
      <c r="C273" s="26" t="s">
        <v>1530</v>
      </c>
      <c r="D273" s="116">
        <v>42471</v>
      </c>
      <c r="E273" s="26" t="s">
        <v>1148</v>
      </c>
      <c r="F273" s="26" t="s">
        <v>1531</v>
      </c>
      <c r="G273" s="26" t="s">
        <v>1532</v>
      </c>
      <c r="H273" s="32">
        <v>461.38</v>
      </c>
      <c r="I273" s="173">
        <v>3204284</v>
      </c>
      <c r="J273" s="388">
        <v>6944.9997832589197</v>
      </c>
    </row>
    <row r="274" spans="1:10" ht="13.5" customHeight="1">
      <c r="A274" s="45"/>
      <c r="B274" s="173">
        <v>272</v>
      </c>
      <c r="C274" s="26" t="s">
        <v>1533</v>
      </c>
      <c r="D274" s="116">
        <v>42476</v>
      </c>
      <c r="E274" s="26" t="s">
        <v>1130</v>
      </c>
      <c r="F274" s="26" t="s">
        <v>956</v>
      </c>
      <c r="G274" s="26" t="s">
        <v>1534</v>
      </c>
      <c r="H274" s="32">
        <v>446.73</v>
      </c>
      <c r="I274" s="173">
        <v>2464699</v>
      </c>
      <c r="J274" s="388">
        <v>5517.2005461912104</v>
      </c>
    </row>
    <row r="275" spans="1:10" ht="13.5" customHeight="1">
      <c r="A275" s="45"/>
      <c r="B275" s="173">
        <v>273</v>
      </c>
      <c r="C275" s="26" t="s">
        <v>1535</v>
      </c>
      <c r="D275" s="116">
        <v>42478</v>
      </c>
      <c r="E275" s="26" t="s">
        <v>1148</v>
      </c>
      <c r="F275" s="26" t="s">
        <v>1416</v>
      </c>
      <c r="G275" s="26" t="s">
        <v>1536</v>
      </c>
      <c r="H275" s="32">
        <v>461.38</v>
      </c>
      <c r="I275" s="173">
        <v>3204284</v>
      </c>
      <c r="J275" s="388">
        <v>6944.9997832589197</v>
      </c>
    </row>
    <row r="276" spans="1:10" ht="13.5" customHeight="1">
      <c r="A276" s="45"/>
      <c r="B276" s="173">
        <v>274</v>
      </c>
      <c r="C276" s="26" t="s">
        <v>1537</v>
      </c>
      <c r="D276" s="116">
        <v>42482</v>
      </c>
      <c r="E276" s="26" t="s">
        <v>1173</v>
      </c>
      <c r="F276" s="26" t="s">
        <v>901</v>
      </c>
      <c r="G276" s="26" t="s">
        <v>1538</v>
      </c>
      <c r="H276" s="32">
        <v>446.73</v>
      </c>
      <c r="I276" s="173">
        <v>2598356</v>
      </c>
      <c r="J276" s="388">
        <v>5816.3902133279598</v>
      </c>
    </row>
    <row r="277" spans="1:10" ht="13.5" customHeight="1">
      <c r="A277" s="45"/>
      <c r="B277" s="173">
        <v>275</v>
      </c>
      <c r="C277" s="26" t="s">
        <v>1539</v>
      </c>
      <c r="D277" s="116">
        <v>42489</v>
      </c>
      <c r="E277" s="26" t="s">
        <v>1130</v>
      </c>
      <c r="F277" s="26" t="s">
        <v>1064</v>
      </c>
      <c r="G277" s="26" t="s">
        <v>1540</v>
      </c>
      <c r="H277" s="32">
        <v>297.82</v>
      </c>
      <c r="I277" s="173">
        <v>1914123</v>
      </c>
      <c r="J277" s="388">
        <v>6427.1136928346004</v>
      </c>
    </row>
    <row r="278" spans="1:10" ht="13.5" customHeight="1">
      <c r="A278" s="45"/>
      <c r="B278" s="173">
        <v>276</v>
      </c>
      <c r="C278" s="26" t="s">
        <v>1541</v>
      </c>
      <c r="D278" s="389">
        <v>42489</v>
      </c>
      <c r="E278" s="26" t="s">
        <v>1127</v>
      </c>
      <c r="F278" s="26" t="s">
        <v>1542</v>
      </c>
      <c r="G278" s="26" t="s">
        <v>1543</v>
      </c>
      <c r="H278" s="89">
        <v>461.38</v>
      </c>
      <c r="I278" s="173">
        <v>3173856</v>
      </c>
      <c r="J278" s="388">
        <v>6879.0498071004404</v>
      </c>
    </row>
    <row r="279" spans="1:10" ht="13.5" customHeight="1">
      <c r="A279" s="45"/>
      <c r="B279" s="173">
        <v>277</v>
      </c>
      <c r="C279" s="26" t="s">
        <v>1544</v>
      </c>
      <c r="D279" s="116">
        <v>42499</v>
      </c>
      <c r="E279" s="26" t="s">
        <v>1173</v>
      </c>
      <c r="F279" s="26" t="s">
        <v>927</v>
      </c>
      <c r="G279" s="26" t="s">
        <v>1545</v>
      </c>
      <c r="H279" s="32">
        <v>297.82</v>
      </c>
      <c r="I279" s="173">
        <v>1744406</v>
      </c>
      <c r="J279" s="388">
        <v>5857.2493452420904</v>
      </c>
    </row>
    <row r="280" spans="1:10" ht="13.5" customHeight="1">
      <c r="A280" s="45"/>
      <c r="B280" s="173">
        <v>278</v>
      </c>
      <c r="C280" s="26" t="s">
        <v>1546</v>
      </c>
      <c r="D280" s="116">
        <v>42499</v>
      </c>
      <c r="E280" s="26" t="s">
        <v>1173</v>
      </c>
      <c r="F280" s="26" t="s">
        <v>1229</v>
      </c>
      <c r="G280" s="26" t="s">
        <v>1547</v>
      </c>
      <c r="H280" s="32">
        <v>297.82</v>
      </c>
      <c r="I280" s="173">
        <v>1744406</v>
      </c>
      <c r="J280" s="388">
        <v>5857.2493452420904</v>
      </c>
    </row>
    <row r="281" spans="1:10" ht="13.5" customHeight="1">
      <c r="A281" s="45"/>
      <c r="B281" s="173">
        <v>279</v>
      </c>
      <c r="C281" s="26" t="s">
        <v>1548</v>
      </c>
      <c r="D281" s="116">
        <v>42507</v>
      </c>
      <c r="E281" s="26" t="s">
        <v>1173</v>
      </c>
      <c r="F281" s="26" t="s">
        <v>1549</v>
      </c>
      <c r="G281" s="26" t="s">
        <v>1550</v>
      </c>
      <c r="H281" s="32">
        <v>297.82</v>
      </c>
      <c r="I281" s="173">
        <v>1744406</v>
      </c>
      <c r="J281" s="388">
        <v>5857.2493452420904</v>
      </c>
    </row>
    <row r="282" spans="1:10" ht="13.5" customHeight="1">
      <c r="A282" s="45"/>
      <c r="B282" s="173">
        <v>280</v>
      </c>
      <c r="C282" s="26" t="s">
        <v>1246</v>
      </c>
      <c r="D282" s="116">
        <v>42510</v>
      </c>
      <c r="E282" s="26" t="s">
        <v>895</v>
      </c>
      <c r="F282" s="26" t="s">
        <v>1041</v>
      </c>
      <c r="G282" s="26" t="s">
        <v>1551</v>
      </c>
      <c r="H282" s="32">
        <v>446.73</v>
      </c>
      <c r="I282" s="173">
        <v>2720314</v>
      </c>
      <c r="J282" s="388">
        <v>6089.3918026548499</v>
      </c>
    </row>
    <row r="283" spans="1:10" ht="13.5" customHeight="1">
      <c r="A283" s="45"/>
      <c r="B283" s="173">
        <v>281</v>
      </c>
      <c r="C283" s="26" t="s">
        <v>1552</v>
      </c>
      <c r="D283" s="116">
        <v>42527</v>
      </c>
      <c r="E283" s="26" t="s">
        <v>1173</v>
      </c>
      <c r="F283" s="26" t="s">
        <v>1553</v>
      </c>
      <c r="G283" s="26" t="s">
        <v>1554</v>
      </c>
      <c r="H283" s="32">
        <v>297.82</v>
      </c>
      <c r="I283" s="173">
        <v>1744406</v>
      </c>
      <c r="J283" s="388">
        <v>5857.2493452420904</v>
      </c>
    </row>
    <row r="284" spans="1:10" ht="13.5" customHeight="1">
      <c r="A284" s="45"/>
      <c r="B284" s="173">
        <v>282</v>
      </c>
      <c r="C284" s="26" t="s">
        <v>1555</v>
      </c>
      <c r="D284" s="116">
        <v>42529</v>
      </c>
      <c r="E284" s="26" t="s">
        <v>920</v>
      </c>
      <c r="F284" s="26" t="s">
        <v>1204</v>
      </c>
      <c r="G284" s="26" t="s">
        <v>1556</v>
      </c>
      <c r="H284" s="32">
        <v>712.49</v>
      </c>
      <c r="I284" s="173">
        <v>4354155</v>
      </c>
      <c r="J284" s="388">
        <v>6111.1805077966001</v>
      </c>
    </row>
    <row r="285" spans="1:10" ht="13.5" customHeight="1">
      <c r="A285" s="45"/>
      <c r="B285" s="173">
        <v>283</v>
      </c>
      <c r="C285" s="26" t="s">
        <v>1557</v>
      </c>
      <c r="D285" s="389">
        <v>42531</v>
      </c>
      <c r="E285" s="26" t="s">
        <v>1148</v>
      </c>
      <c r="F285" s="26" t="s">
        <v>1041</v>
      </c>
      <c r="G285" s="26" t="s">
        <v>1558</v>
      </c>
      <c r="H285" s="89">
        <v>297.82</v>
      </c>
      <c r="I285" s="173">
        <v>2094315</v>
      </c>
      <c r="J285" s="388">
        <v>7032.1502921227602</v>
      </c>
    </row>
    <row r="286" spans="1:10" ht="13.5" customHeight="1">
      <c r="A286" s="45"/>
      <c r="B286" s="173">
        <v>284</v>
      </c>
      <c r="C286" s="26" t="s">
        <v>1559</v>
      </c>
      <c r="D286" s="116">
        <v>42543</v>
      </c>
      <c r="E286" s="26" t="s">
        <v>1127</v>
      </c>
      <c r="F286" s="26" t="s">
        <v>1560</v>
      </c>
      <c r="G286" s="26" t="s">
        <v>1561</v>
      </c>
      <c r="H286" s="32">
        <v>461.38</v>
      </c>
      <c r="I286" s="173">
        <v>3624901</v>
      </c>
      <c r="J286" s="388">
        <v>7856.6496163682896</v>
      </c>
    </row>
    <row r="287" spans="1:10" ht="13.5" customHeight="1">
      <c r="A287" s="45"/>
      <c r="B287" s="173">
        <v>285</v>
      </c>
      <c r="C287" s="26" t="s">
        <v>1562</v>
      </c>
      <c r="D287" s="116">
        <v>42545</v>
      </c>
      <c r="E287" s="26" t="s">
        <v>1091</v>
      </c>
      <c r="F287" s="26" t="s">
        <v>989</v>
      </c>
      <c r="G287" s="26" t="s">
        <v>1563</v>
      </c>
      <c r="H287" s="32">
        <v>446.73</v>
      </c>
      <c r="I287" s="173">
        <v>2959732</v>
      </c>
      <c r="J287" s="388">
        <v>6625.3262597094399</v>
      </c>
    </row>
    <row r="288" spans="1:10" ht="13.5" customHeight="1">
      <c r="A288" s="45"/>
      <c r="B288" s="173">
        <v>286</v>
      </c>
      <c r="C288" s="26" t="s">
        <v>1564</v>
      </c>
      <c r="D288" s="116">
        <v>42546</v>
      </c>
      <c r="E288" s="26" t="s">
        <v>1173</v>
      </c>
      <c r="F288" s="26" t="s">
        <v>1565</v>
      </c>
      <c r="G288" s="26" t="s">
        <v>1566</v>
      </c>
      <c r="H288" s="32">
        <v>297.82</v>
      </c>
      <c r="I288" s="173">
        <v>1549319</v>
      </c>
      <c r="J288" s="388">
        <v>5202.1993150224998</v>
      </c>
    </row>
    <row r="289" spans="1:10" ht="13.5" customHeight="1">
      <c r="A289" s="45"/>
      <c r="B289" s="173">
        <v>287</v>
      </c>
      <c r="C289" s="26" t="s">
        <v>1564</v>
      </c>
      <c r="D289" s="116">
        <v>42546</v>
      </c>
      <c r="E289" s="26" t="s">
        <v>1173</v>
      </c>
      <c r="F289" s="26" t="s">
        <v>899</v>
      </c>
      <c r="G289" s="26" t="s">
        <v>1567</v>
      </c>
      <c r="H289" s="32">
        <v>297.82</v>
      </c>
      <c r="I289" s="173">
        <v>1549319</v>
      </c>
      <c r="J289" s="388">
        <v>5202.1993150224998</v>
      </c>
    </row>
    <row r="290" spans="1:10" ht="13.5" customHeight="1">
      <c r="A290" s="45"/>
      <c r="B290" s="173">
        <v>288</v>
      </c>
      <c r="C290" s="26" t="s">
        <v>1564</v>
      </c>
      <c r="D290" s="116">
        <v>42546</v>
      </c>
      <c r="E290" s="26" t="s">
        <v>1173</v>
      </c>
      <c r="F290" s="26" t="s">
        <v>933</v>
      </c>
      <c r="G290" s="26" t="s">
        <v>1568</v>
      </c>
      <c r="H290" s="32">
        <v>297.82</v>
      </c>
      <c r="I290" s="173">
        <v>1549319</v>
      </c>
      <c r="J290" s="388">
        <v>5202.1993150224998</v>
      </c>
    </row>
    <row r="291" spans="1:10" ht="13.5" customHeight="1">
      <c r="A291" s="45"/>
      <c r="B291" s="173">
        <v>289</v>
      </c>
      <c r="C291" s="26" t="s">
        <v>1569</v>
      </c>
      <c r="D291" s="116">
        <v>42558</v>
      </c>
      <c r="E291" s="26" t="s">
        <v>1148</v>
      </c>
      <c r="F291" s="26" t="s">
        <v>1570</v>
      </c>
      <c r="G291" s="26" t="s">
        <v>1571</v>
      </c>
      <c r="H291" s="32">
        <v>461.38</v>
      </c>
      <c r="I291" s="173">
        <v>3624901</v>
      </c>
      <c r="J291" s="388">
        <v>7856.6496163682896</v>
      </c>
    </row>
    <row r="292" spans="1:10" ht="13.5" customHeight="1">
      <c r="A292" s="45"/>
      <c r="B292" s="173">
        <v>290</v>
      </c>
      <c r="C292" s="26" t="s">
        <v>1569</v>
      </c>
      <c r="D292" s="116">
        <v>42558</v>
      </c>
      <c r="E292" s="26" t="s">
        <v>1148</v>
      </c>
      <c r="F292" s="26" t="s">
        <v>1572</v>
      </c>
      <c r="G292" s="26" t="s">
        <v>1573</v>
      </c>
      <c r="H292" s="32">
        <v>461.38</v>
      </c>
      <c r="I292" s="173">
        <v>3344901</v>
      </c>
      <c r="J292" s="388">
        <v>7249.7745892756502</v>
      </c>
    </row>
    <row r="293" spans="1:10" ht="13.5" customHeight="1">
      <c r="A293" s="45"/>
      <c r="B293" s="173">
        <v>291</v>
      </c>
      <c r="C293" s="26" t="s">
        <v>1574</v>
      </c>
      <c r="D293" s="116">
        <v>42569</v>
      </c>
      <c r="E293" s="26" t="s">
        <v>1173</v>
      </c>
      <c r="F293" s="26" t="s">
        <v>1575</v>
      </c>
      <c r="G293" s="26" t="s">
        <v>1576</v>
      </c>
      <c r="H293" s="32">
        <v>297.82</v>
      </c>
      <c r="I293" s="173">
        <v>1504237</v>
      </c>
      <c r="J293" s="388">
        <v>5050.8260022832601</v>
      </c>
    </row>
    <row r="294" spans="1:10" ht="13.5" customHeight="1">
      <c r="A294" s="45"/>
      <c r="B294" s="173">
        <v>292</v>
      </c>
      <c r="C294" s="26" t="s">
        <v>1577</v>
      </c>
      <c r="D294" s="116">
        <v>42569</v>
      </c>
      <c r="E294" s="26" t="s">
        <v>1091</v>
      </c>
      <c r="F294" s="26" t="s">
        <v>1482</v>
      </c>
      <c r="G294" s="26" t="s">
        <v>1578</v>
      </c>
      <c r="H294" s="32">
        <v>461.38</v>
      </c>
      <c r="I294" s="173">
        <v>2676081</v>
      </c>
      <c r="J294" s="388">
        <v>5800.1668906324503</v>
      </c>
    </row>
    <row r="295" spans="1:10" ht="13.5" customHeight="1">
      <c r="A295" s="45"/>
      <c r="B295" s="173">
        <v>293</v>
      </c>
      <c r="C295" s="26" t="s">
        <v>1579</v>
      </c>
      <c r="D295" s="116">
        <v>42572</v>
      </c>
      <c r="E295" s="26" t="s">
        <v>1302</v>
      </c>
      <c r="F295" s="26" t="s">
        <v>1580</v>
      </c>
      <c r="G295" s="26" t="s">
        <v>1581</v>
      </c>
      <c r="H295" s="32">
        <v>297.82</v>
      </c>
      <c r="I295" s="173">
        <v>1728788</v>
      </c>
      <c r="J295" s="388">
        <v>5804.8082734537602</v>
      </c>
    </row>
    <row r="296" spans="1:10" ht="13.5" customHeight="1">
      <c r="A296" s="45"/>
      <c r="B296" s="173">
        <v>294</v>
      </c>
      <c r="C296" s="26" t="s">
        <v>1582</v>
      </c>
      <c r="D296" s="116">
        <v>42572</v>
      </c>
      <c r="E296" s="26" t="s">
        <v>1127</v>
      </c>
      <c r="F296" s="26" t="s">
        <v>1531</v>
      </c>
      <c r="G296" s="26" t="s">
        <v>1583</v>
      </c>
      <c r="H296" s="32">
        <v>461.38</v>
      </c>
      <c r="I296" s="173">
        <v>3404284</v>
      </c>
      <c r="J296" s="388">
        <v>7378.48194546794</v>
      </c>
    </row>
    <row r="297" spans="1:10" ht="13.5" customHeight="1">
      <c r="A297" s="45"/>
      <c r="B297" s="173">
        <v>295</v>
      </c>
      <c r="C297" s="26" t="s">
        <v>1584</v>
      </c>
      <c r="D297" s="116">
        <v>42572</v>
      </c>
      <c r="E297" s="26" t="s">
        <v>1302</v>
      </c>
      <c r="F297" s="26" t="s">
        <v>1585</v>
      </c>
      <c r="G297" s="26" t="s">
        <v>1586</v>
      </c>
      <c r="H297" s="32">
        <v>297.82</v>
      </c>
      <c r="I297" s="173">
        <v>1728788</v>
      </c>
      <c r="J297" s="388">
        <v>5804.8082734537602</v>
      </c>
    </row>
    <row r="298" spans="1:10" ht="13.5" customHeight="1">
      <c r="A298" s="45"/>
      <c r="B298" s="173">
        <v>296</v>
      </c>
      <c r="C298" s="26" t="s">
        <v>1587</v>
      </c>
      <c r="D298" s="116">
        <v>42573</v>
      </c>
      <c r="E298" s="26" t="s">
        <v>1109</v>
      </c>
      <c r="F298" s="26" t="s">
        <v>1229</v>
      </c>
      <c r="G298" s="26" t="s">
        <v>1588</v>
      </c>
      <c r="H298" s="32">
        <v>950</v>
      </c>
      <c r="I298" s="173">
        <v>6585876</v>
      </c>
      <c r="J298" s="388">
        <v>6932.50105263158</v>
      </c>
    </row>
    <row r="299" spans="1:10" ht="13.5" customHeight="1">
      <c r="A299" s="45"/>
      <c r="B299" s="173">
        <v>297</v>
      </c>
      <c r="C299" s="26" t="s">
        <v>1589</v>
      </c>
      <c r="D299" s="116">
        <v>42579</v>
      </c>
      <c r="E299" s="26" t="s">
        <v>1148</v>
      </c>
      <c r="F299" s="26" t="s">
        <v>1426</v>
      </c>
      <c r="G299" s="26" t="s">
        <v>1590</v>
      </c>
      <c r="H299" s="32">
        <v>461.38</v>
      </c>
      <c r="I299" s="173">
        <v>3624901</v>
      </c>
      <c r="J299" s="388">
        <v>7856.6496163682896</v>
      </c>
    </row>
    <row r="300" spans="1:10" ht="13.5" customHeight="1">
      <c r="A300" s="45"/>
      <c r="B300" s="173">
        <v>298</v>
      </c>
      <c r="C300" s="26" t="s">
        <v>1589</v>
      </c>
      <c r="D300" s="116">
        <v>42579</v>
      </c>
      <c r="E300" s="26" t="s">
        <v>1148</v>
      </c>
      <c r="F300" s="26" t="s">
        <v>1463</v>
      </c>
      <c r="G300" s="26" t="s">
        <v>1591</v>
      </c>
      <c r="H300" s="32">
        <v>461.38</v>
      </c>
      <c r="I300" s="173">
        <v>3351901</v>
      </c>
      <c r="J300" s="388">
        <v>7264.94646495297</v>
      </c>
    </row>
    <row r="301" spans="1:10" ht="13.5" customHeight="1">
      <c r="A301" s="45"/>
      <c r="B301" s="173">
        <v>299</v>
      </c>
      <c r="C301" s="26" t="s">
        <v>1592</v>
      </c>
      <c r="D301" s="116">
        <v>42593</v>
      </c>
      <c r="E301" s="26" t="s">
        <v>1302</v>
      </c>
      <c r="F301" s="26" t="s">
        <v>1593</v>
      </c>
      <c r="G301" s="26" t="s">
        <v>1594</v>
      </c>
      <c r="H301" s="32">
        <v>297.82</v>
      </c>
      <c r="I301" s="173">
        <v>1671738</v>
      </c>
      <c r="J301" s="388">
        <v>5613.2496138607203</v>
      </c>
    </row>
    <row r="302" spans="1:10" ht="13.5" customHeight="1">
      <c r="A302" s="45"/>
      <c r="B302" s="173">
        <v>300</v>
      </c>
      <c r="C302" s="26" t="s">
        <v>1246</v>
      </c>
      <c r="D302" s="116">
        <v>42604</v>
      </c>
      <c r="E302" s="26" t="s">
        <v>1302</v>
      </c>
      <c r="F302" s="26" t="s">
        <v>1595</v>
      </c>
      <c r="G302" s="26" t="s">
        <v>1596</v>
      </c>
      <c r="H302" s="32">
        <v>446.73</v>
      </c>
      <c r="I302" s="173">
        <v>2580823</v>
      </c>
      <c r="J302" s="388">
        <v>5777.1427931860399</v>
      </c>
    </row>
    <row r="303" spans="1:10" ht="13.5" customHeight="1">
      <c r="A303" s="45"/>
      <c r="B303" s="173">
        <v>301</v>
      </c>
      <c r="C303" s="26" t="s">
        <v>1597</v>
      </c>
      <c r="D303" s="116">
        <v>42604</v>
      </c>
      <c r="E303" s="26" t="s">
        <v>1127</v>
      </c>
      <c r="F303" s="26" t="s">
        <v>1411</v>
      </c>
      <c r="G303" s="26" t="s">
        <v>1598</v>
      </c>
      <c r="H303" s="32">
        <v>461.38</v>
      </c>
      <c r="I303" s="173">
        <v>3624901</v>
      </c>
      <c r="J303" s="388">
        <v>7856.6496163682896</v>
      </c>
    </row>
    <row r="304" spans="1:10" ht="13.5" customHeight="1">
      <c r="A304" s="45"/>
      <c r="B304" s="173">
        <v>302</v>
      </c>
      <c r="C304" s="26" t="s">
        <v>1597</v>
      </c>
      <c r="D304" s="116">
        <v>42604</v>
      </c>
      <c r="E304" s="26" t="s">
        <v>1127</v>
      </c>
      <c r="F304" s="26" t="s">
        <v>1599</v>
      </c>
      <c r="G304" s="26" t="s">
        <v>1600</v>
      </c>
      <c r="H304" s="32">
        <v>461.38</v>
      </c>
      <c r="I304" s="173">
        <v>3624901</v>
      </c>
      <c r="J304" s="388">
        <v>7856.6496163682896</v>
      </c>
    </row>
    <row r="305" spans="1:10" ht="13.5" customHeight="1">
      <c r="A305" s="45"/>
      <c r="B305" s="173">
        <v>303</v>
      </c>
      <c r="C305" s="26" t="s">
        <v>1601</v>
      </c>
      <c r="D305" s="116">
        <v>42612</v>
      </c>
      <c r="E305" s="26" t="s">
        <v>1109</v>
      </c>
      <c r="F305" s="26" t="s">
        <v>1145</v>
      </c>
      <c r="G305" s="26" t="s">
        <v>1602</v>
      </c>
      <c r="H305" s="32">
        <v>712.49</v>
      </c>
      <c r="I305" s="173">
        <v>4200001</v>
      </c>
      <c r="J305" s="388">
        <v>5894.8209799435799</v>
      </c>
    </row>
    <row r="306" spans="1:10" ht="13.5" customHeight="1">
      <c r="A306" s="45"/>
      <c r="B306" s="173">
        <v>304</v>
      </c>
      <c r="C306" s="26" t="s">
        <v>1603</v>
      </c>
      <c r="D306" s="116">
        <v>42635</v>
      </c>
      <c r="E306" s="26" t="s">
        <v>1148</v>
      </c>
      <c r="F306" s="26" t="s">
        <v>1604</v>
      </c>
      <c r="G306" s="26" t="s">
        <v>1605</v>
      </c>
      <c r="H306" s="32">
        <v>461.38</v>
      </c>
      <c r="I306" s="173">
        <v>3204284</v>
      </c>
      <c r="J306" s="388">
        <v>6944.9997832589197</v>
      </c>
    </row>
    <row r="307" spans="1:10" ht="13.5" customHeight="1">
      <c r="A307" s="45"/>
      <c r="B307" s="173">
        <v>305</v>
      </c>
      <c r="C307" s="26" t="s">
        <v>1606</v>
      </c>
      <c r="D307" s="116">
        <v>42646</v>
      </c>
      <c r="E307" s="26" t="s">
        <v>1302</v>
      </c>
      <c r="F307" s="26" t="s">
        <v>1607</v>
      </c>
      <c r="G307" s="26" t="s">
        <v>1608</v>
      </c>
      <c r="H307" s="32">
        <v>297.82</v>
      </c>
      <c r="I307" s="173">
        <v>1666303</v>
      </c>
      <c r="J307" s="388">
        <v>5595.0003357732903</v>
      </c>
    </row>
    <row r="308" spans="1:10" ht="13.5" customHeight="1">
      <c r="A308" s="45"/>
      <c r="B308" s="173">
        <v>306</v>
      </c>
      <c r="C308" s="26" t="s">
        <v>1609</v>
      </c>
      <c r="D308" s="116">
        <v>42649</v>
      </c>
      <c r="E308" s="26" t="s">
        <v>1302</v>
      </c>
      <c r="F308" s="26" t="s">
        <v>1610</v>
      </c>
      <c r="G308" s="26" t="s">
        <v>1611</v>
      </c>
      <c r="H308" s="32">
        <v>297.82</v>
      </c>
      <c r="I308" s="173">
        <v>1714152</v>
      </c>
      <c r="J308" s="388">
        <v>5755.6644953327504</v>
      </c>
    </row>
    <row r="309" spans="1:10" ht="13.5" customHeight="1">
      <c r="A309" s="45"/>
      <c r="B309" s="173">
        <v>307</v>
      </c>
      <c r="C309" s="26" t="s">
        <v>1612</v>
      </c>
      <c r="D309" s="116">
        <v>42672</v>
      </c>
      <c r="E309" s="26" t="s">
        <v>1302</v>
      </c>
      <c r="F309" s="26" t="s">
        <v>1613</v>
      </c>
      <c r="G309" s="26" t="s">
        <v>1614</v>
      </c>
      <c r="H309" s="32">
        <v>297.82</v>
      </c>
      <c r="I309" s="173">
        <v>1651600</v>
      </c>
      <c r="J309" s="388">
        <v>5545.6315895507396</v>
      </c>
    </row>
    <row r="310" spans="1:10" ht="13.5" customHeight="1">
      <c r="A310" s="45"/>
      <c r="B310" s="173">
        <v>308</v>
      </c>
      <c r="C310" s="26" t="s">
        <v>1615</v>
      </c>
      <c r="D310" s="116">
        <v>42682</v>
      </c>
      <c r="E310" s="26" t="s">
        <v>1148</v>
      </c>
      <c r="F310" s="26" t="s">
        <v>1542</v>
      </c>
      <c r="G310" s="26" t="s">
        <v>1616</v>
      </c>
      <c r="H310" s="32">
        <v>461.38</v>
      </c>
      <c r="I310" s="173">
        <v>2874901</v>
      </c>
      <c r="J310" s="388">
        <v>6231.0915080844397</v>
      </c>
    </row>
    <row r="311" spans="1:10" ht="13.5" customHeight="1">
      <c r="A311" s="45"/>
      <c r="B311" s="173">
        <v>309</v>
      </c>
      <c r="C311" s="26" t="s">
        <v>1617</v>
      </c>
      <c r="D311" s="116">
        <v>42709</v>
      </c>
      <c r="E311" s="26" t="s">
        <v>1302</v>
      </c>
      <c r="F311" s="26" t="s">
        <v>1618</v>
      </c>
      <c r="G311" s="26" t="s">
        <v>1619</v>
      </c>
      <c r="H311" s="32">
        <v>446.73</v>
      </c>
      <c r="I311" s="173">
        <v>2350245</v>
      </c>
      <c r="J311" s="388">
        <v>5260.9965751124801</v>
      </c>
    </row>
    <row r="312" spans="1:10" ht="13.5" customHeight="1">
      <c r="A312" s="45"/>
      <c r="B312" s="173">
        <v>310</v>
      </c>
      <c r="C312" s="26" t="s">
        <v>1620</v>
      </c>
      <c r="D312" s="116">
        <v>42725</v>
      </c>
      <c r="E312" s="26" t="s">
        <v>1302</v>
      </c>
      <c r="F312" s="26" t="s">
        <v>1621</v>
      </c>
      <c r="G312" s="26" t="s">
        <v>1622</v>
      </c>
      <c r="H312" s="32">
        <v>297.82</v>
      </c>
      <c r="I312" s="173">
        <v>1725648</v>
      </c>
      <c r="J312" s="388">
        <v>5794.2649922772098</v>
      </c>
    </row>
    <row r="313" spans="1:10" ht="13.5" customHeight="1">
      <c r="A313" s="45"/>
      <c r="B313" s="173">
        <v>311</v>
      </c>
      <c r="C313" s="26" t="s">
        <v>1623</v>
      </c>
      <c r="D313" s="116">
        <v>42726</v>
      </c>
      <c r="E313" s="26" t="s">
        <v>1148</v>
      </c>
      <c r="F313" s="26" t="s">
        <v>1482</v>
      </c>
      <c r="G313" s="26" t="s">
        <v>1624</v>
      </c>
      <c r="H313" s="32">
        <v>461.38</v>
      </c>
      <c r="I313" s="173">
        <v>3204284</v>
      </c>
      <c r="J313" s="388">
        <v>6944.9997832589197</v>
      </c>
    </row>
    <row r="314" spans="1:10" ht="13.5" customHeight="1">
      <c r="A314" s="45"/>
      <c r="B314" s="173">
        <v>312</v>
      </c>
      <c r="C314" s="26" t="s">
        <v>1625</v>
      </c>
      <c r="D314" s="116">
        <v>42738</v>
      </c>
      <c r="E314" s="26" t="s">
        <v>1076</v>
      </c>
      <c r="F314" s="26" t="s">
        <v>956</v>
      </c>
      <c r="G314" s="26" t="s">
        <v>1626</v>
      </c>
      <c r="H314" s="32">
        <v>446.73</v>
      </c>
      <c r="I314" s="173">
        <v>2323356</v>
      </c>
      <c r="J314" s="388">
        <v>5200.8058558861103</v>
      </c>
    </row>
    <row r="315" spans="1:10" ht="13.5" customHeight="1">
      <c r="A315" s="45"/>
      <c r="B315" s="173">
        <v>313</v>
      </c>
      <c r="C315" s="26" t="s">
        <v>1627</v>
      </c>
      <c r="D315" s="116">
        <v>42769</v>
      </c>
      <c r="E315" s="26" t="s">
        <v>1302</v>
      </c>
      <c r="F315" s="26" t="s">
        <v>1628</v>
      </c>
      <c r="G315" s="26" t="s">
        <v>1629</v>
      </c>
      <c r="H315" s="32">
        <v>446.73</v>
      </c>
      <c r="I315" s="173">
        <v>2733765</v>
      </c>
      <c r="J315" s="388">
        <v>6119.50171244376</v>
      </c>
    </row>
    <row r="316" spans="1:10" ht="13.5" customHeight="1">
      <c r="A316" s="45"/>
      <c r="B316" s="173">
        <v>314</v>
      </c>
      <c r="C316" s="26" t="s">
        <v>1630</v>
      </c>
      <c r="D316" s="116">
        <v>42770</v>
      </c>
      <c r="E316" s="26" t="s">
        <v>1109</v>
      </c>
      <c r="F316" s="26" t="s">
        <v>1631</v>
      </c>
      <c r="G316" s="26" t="s">
        <v>1632</v>
      </c>
      <c r="H316" s="32">
        <v>950</v>
      </c>
      <c r="I316" s="173">
        <v>5850543</v>
      </c>
      <c r="J316" s="388">
        <v>6158.4663157894702</v>
      </c>
    </row>
    <row r="317" spans="1:10" ht="13.5" customHeight="1">
      <c r="A317" s="45"/>
      <c r="B317" s="173">
        <v>315</v>
      </c>
      <c r="C317" s="26" t="s">
        <v>1633</v>
      </c>
      <c r="D317" s="116">
        <v>42775</v>
      </c>
      <c r="E317" s="26" t="s">
        <v>910</v>
      </c>
      <c r="F317" s="26" t="s">
        <v>1092</v>
      </c>
      <c r="G317" s="26" t="s">
        <v>1634</v>
      </c>
      <c r="H317" s="32">
        <v>446.73</v>
      </c>
      <c r="I317" s="173">
        <v>2632711</v>
      </c>
      <c r="J317" s="388">
        <v>5893.2934882367399</v>
      </c>
    </row>
    <row r="318" spans="1:10" ht="13.5" customHeight="1">
      <c r="A318" s="45"/>
      <c r="B318" s="173">
        <v>316</v>
      </c>
      <c r="C318" s="26" t="s">
        <v>1635</v>
      </c>
      <c r="D318" s="116">
        <v>42780</v>
      </c>
      <c r="E318" s="26" t="s">
        <v>1130</v>
      </c>
      <c r="F318" s="26" t="s">
        <v>1636</v>
      </c>
      <c r="G318" s="26" t="s">
        <v>1637</v>
      </c>
      <c r="H318" s="32">
        <v>461.38</v>
      </c>
      <c r="I318" s="173">
        <v>3417280</v>
      </c>
      <c r="J318" s="388">
        <v>7406.6496163682896</v>
      </c>
    </row>
    <row r="319" spans="1:10" ht="13.5" customHeight="1">
      <c r="A319" s="45"/>
      <c r="B319" s="173">
        <v>317</v>
      </c>
      <c r="C319" s="26" t="s">
        <v>1638</v>
      </c>
      <c r="D319" s="116">
        <v>42781</v>
      </c>
      <c r="E319" s="26" t="s">
        <v>1091</v>
      </c>
      <c r="F319" s="26" t="s">
        <v>1639</v>
      </c>
      <c r="G319" s="26" t="s">
        <v>1640</v>
      </c>
      <c r="H319" s="32">
        <v>461.38</v>
      </c>
      <c r="I319" s="173">
        <v>3417280</v>
      </c>
      <c r="J319" s="388">
        <v>7406.6496163682896</v>
      </c>
    </row>
    <row r="320" spans="1:10" ht="13.5" customHeight="1">
      <c r="A320" s="45"/>
      <c r="B320" s="173">
        <v>318</v>
      </c>
      <c r="C320" s="26" t="s">
        <v>1641</v>
      </c>
      <c r="D320" s="116">
        <v>42783</v>
      </c>
      <c r="E320" s="26" t="s">
        <v>1112</v>
      </c>
      <c r="F320" s="26" t="s">
        <v>1642</v>
      </c>
      <c r="G320" s="26" t="s">
        <v>1643</v>
      </c>
      <c r="H320" s="32">
        <v>919.12</v>
      </c>
      <c r="I320" s="173">
        <v>14011720</v>
      </c>
      <c r="J320" s="388">
        <v>15244.712333536399</v>
      </c>
    </row>
    <row r="321" spans="1:10" ht="13.5" customHeight="1">
      <c r="A321" s="45"/>
      <c r="B321" s="173">
        <v>319</v>
      </c>
      <c r="C321" s="26" t="s">
        <v>1644</v>
      </c>
      <c r="D321" s="116">
        <v>42800</v>
      </c>
      <c r="E321" s="26" t="s">
        <v>1091</v>
      </c>
      <c r="F321" s="26" t="s">
        <v>1436</v>
      </c>
      <c r="G321" s="26" t="s">
        <v>1645</v>
      </c>
      <c r="H321" s="32">
        <v>461.38</v>
      </c>
      <c r="I321" s="173">
        <v>2778291</v>
      </c>
      <c r="J321" s="388">
        <v>6021.6979496293698</v>
      </c>
    </row>
    <row r="322" spans="1:10" ht="13.5" customHeight="1">
      <c r="A322" s="45"/>
      <c r="B322" s="173">
        <v>320</v>
      </c>
      <c r="C322" s="26" t="s">
        <v>1646</v>
      </c>
      <c r="D322" s="116">
        <v>42802</v>
      </c>
      <c r="E322" s="26" t="s">
        <v>1374</v>
      </c>
      <c r="F322" s="26" t="s">
        <v>1100</v>
      </c>
      <c r="G322" s="26" t="s">
        <v>1647</v>
      </c>
      <c r="H322" s="32">
        <v>919.12</v>
      </c>
      <c r="I322" s="173">
        <v>4649850</v>
      </c>
      <c r="J322" s="388">
        <v>5059.0238488989498</v>
      </c>
    </row>
    <row r="323" spans="1:10" ht="13.5" customHeight="1">
      <c r="A323" s="45"/>
      <c r="B323" s="173">
        <v>321</v>
      </c>
      <c r="C323" s="26" t="s">
        <v>1648</v>
      </c>
      <c r="D323" s="116">
        <v>42803</v>
      </c>
      <c r="E323" s="26" t="s">
        <v>1302</v>
      </c>
      <c r="F323" s="26" t="s">
        <v>1649</v>
      </c>
      <c r="G323" s="26" t="s">
        <v>1650</v>
      </c>
      <c r="H323" s="32">
        <v>446.73</v>
      </c>
      <c r="I323" s="173">
        <v>2946185</v>
      </c>
      <c r="J323" s="388">
        <v>6595.0014550175702</v>
      </c>
    </row>
    <row r="324" spans="1:10" ht="13.5" customHeight="1">
      <c r="A324" s="45"/>
      <c r="B324" s="173">
        <v>322</v>
      </c>
      <c r="C324" s="26" t="s">
        <v>1651</v>
      </c>
      <c r="D324" s="116">
        <v>42803</v>
      </c>
      <c r="E324" s="26" t="s">
        <v>1091</v>
      </c>
      <c r="F324" s="26" t="s">
        <v>1036</v>
      </c>
      <c r="G324" s="26" t="s">
        <v>1652</v>
      </c>
      <c r="H324" s="32">
        <v>446.73</v>
      </c>
      <c r="I324" s="173">
        <v>2905711</v>
      </c>
      <c r="J324" s="388">
        <v>6504.4008685335702</v>
      </c>
    </row>
    <row r="325" spans="1:10" ht="13.5" customHeight="1">
      <c r="A325" s="45"/>
      <c r="B325" s="173">
        <v>323</v>
      </c>
      <c r="C325" s="26" t="s">
        <v>1653</v>
      </c>
      <c r="D325" s="116">
        <v>42815</v>
      </c>
      <c r="E325" s="26" t="s">
        <v>1302</v>
      </c>
      <c r="F325" s="26" t="s">
        <v>1654</v>
      </c>
      <c r="G325" s="26" t="s">
        <v>1655</v>
      </c>
      <c r="H325" s="32">
        <v>297.82</v>
      </c>
      <c r="I325" s="173">
        <v>1635032</v>
      </c>
      <c r="J325" s="388">
        <v>5490.0006715465697</v>
      </c>
    </row>
    <row r="326" spans="1:10" ht="13.5" customHeight="1">
      <c r="A326" s="45"/>
      <c r="B326" s="173">
        <v>324</v>
      </c>
      <c r="C326" s="26" t="s">
        <v>1656</v>
      </c>
      <c r="D326" s="116">
        <v>42817</v>
      </c>
      <c r="E326" s="26" t="s">
        <v>1091</v>
      </c>
      <c r="F326" s="26" t="s">
        <v>984</v>
      </c>
      <c r="G326" s="26" t="s">
        <v>1657</v>
      </c>
      <c r="H326" s="32">
        <v>446.73</v>
      </c>
      <c r="I326" s="173">
        <v>2905711</v>
      </c>
      <c r="J326" s="388">
        <v>6504.4008685335702</v>
      </c>
    </row>
    <row r="327" spans="1:10" ht="13.5" customHeight="1">
      <c r="A327" s="45"/>
      <c r="B327" s="173">
        <v>325</v>
      </c>
      <c r="C327" s="26" t="s">
        <v>1658</v>
      </c>
      <c r="D327" s="116">
        <v>42817</v>
      </c>
      <c r="E327" s="26" t="s">
        <v>1091</v>
      </c>
      <c r="F327" s="26" t="s">
        <v>1041</v>
      </c>
      <c r="G327" s="26" t="s">
        <v>1659</v>
      </c>
      <c r="H327" s="32">
        <v>446.73</v>
      </c>
      <c r="I327" s="173">
        <v>2256356</v>
      </c>
      <c r="J327" s="388">
        <v>5050.8271215275399</v>
      </c>
    </row>
    <row r="328" spans="1:10" ht="13.5" customHeight="1">
      <c r="A328" s="45"/>
      <c r="B328" s="173">
        <v>326</v>
      </c>
      <c r="C328" s="26" t="s">
        <v>1660</v>
      </c>
      <c r="D328" s="116">
        <v>42822</v>
      </c>
      <c r="E328" s="26" t="s">
        <v>1099</v>
      </c>
      <c r="F328" s="26" t="s">
        <v>1661</v>
      </c>
      <c r="G328" s="26" t="s">
        <v>1662</v>
      </c>
      <c r="H328" s="32">
        <v>130</v>
      </c>
      <c r="I328" s="173">
        <v>906500</v>
      </c>
      <c r="J328" s="388">
        <v>6973.0769230769201</v>
      </c>
    </row>
    <row r="329" spans="1:10" ht="13.5" customHeight="1">
      <c r="A329" s="45"/>
      <c r="B329" s="173">
        <v>327</v>
      </c>
      <c r="C329" s="26" t="s">
        <v>1663</v>
      </c>
      <c r="D329" s="389">
        <v>42829</v>
      </c>
      <c r="E329" s="26" t="s">
        <v>1148</v>
      </c>
      <c r="F329" s="26" t="s">
        <v>924</v>
      </c>
      <c r="G329" s="26" t="s">
        <v>1664</v>
      </c>
      <c r="H329" s="89">
        <v>297.82</v>
      </c>
      <c r="I329" s="173">
        <v>1759535</v>
      </c>
      <c r="J329" s="388">
        <v>5908.0484856624798</v>
      </c>
    </row>
    <row r="330" spans="1:10" ht="13.5" customHeight="1">
      <c r="A330" s="45"/>
      <c r="B330" s="173">
        <v>328</v>
      </c>
      <c r="C330" s="26" t="s">
        <v>1665</v>
      </c>
      <c r="D330" s="116">
        <v>42831</v>
      </c>
      <c r="E330" s="26" t="s">
        <v>1091</v>
      </c>
      <c r="F330" s="26" t="s">
        <v>1000</v>
      </c>
      <c r="G330" s="26" t="s">
        <v>1666</v>
      </c>
      <c r="H330" s="32">
        <v>446.73</v>
      </c>
      <c r="I330" s="173">
        <v>2582972</v>
      </c>
      <c r="J330" s="388">
        <v>5781.9533051283797</v>
      </c>
    </row>
    <row r="331" spans="1:10" ht="13.5" customHeight="1">
      <c r="A331" s="45"/>
      <c r="B331" s="173">
        <v>329</v>
      </c>
      <c r="C331" s="26" t="s">
        <v>1667</v>
      </c>
      <c r="D331" s="116">
        <v>42837</v>
      </c>
      <c r="E331" s="26" t="s">
        <v>1239</v>
      </c>
      <c r="F331" s="26" t="s">
        <v>978</v>
      </c>
      <c r="G331" s="26" t="s">
        <v>1668</v>
      </c>
      <c r="H331" s="32">
        <v>446.73</v>
      </c>
      <c r="I331" s="173">
        <v>3346356</v>
      </c>
      <c r="J331" s="388">
        <v>7490.7796655698103</v>
      </c>
    </row>
    <row r="332" spans="1:10" ht="13.5" customHeight="1">
      <c r="A332" s="45"/>
      <c r="B332" s="173">
        <v>330</v>
      </c>
      <c r="C332" s="26" t="s">
        <v>1669</v>
      </c>
      <c r="D332" s="116">
        <v>42845</v>
      </c>
      <c r="E332" s="26" t="s">
        <v>1109</v>
      </c>
      <c r="F332" s="26" t="s">
        <v>1253</v>
      </c>
      <c r="G332" s="26" t="s">
        <v>1670</v>
      </c>
      <c r="H332" s="32">
        <v>950</v>
      </c>
      <c r="I332" s="173">
        <v>6977180</v>
      </c>
      <c r="J332" s="388">
        <v>7344.4</v>
      </c>
    </row>
    <row r="333" spans="1:10" ht="13.5" customHeight="1">
      <c r="A333" s="45"/>
      <c r="B333" s="173">
        <v>331</v>
      </c>
      <c r="C333" s="26" t="s">
        <v>1671</v>
      </c>
      <c r="D333" s="116">
        <v>42849</v>
      </c>
      <c r="E333" s="26" t="s">
        <v>1302</v>
      </c>
      <c r="F333" s="26" t="s">
        <v>1672</v>
      </c>
      <c r="G333" s="26" t="s">
        <v>1673</v>
      </c>
      <c r="H333" s="32">
        <v>297.82</v>
      </c>
      <c r="I333" s="173">
        <v>1716084</v>
      </c>
      <c r="J333" s="388">
        <v>5762.1516352158997</v>
      </c>
    </row>
    <row r="334" spans="1:10" ht="13.5" customHeight="1">
      <c r="A334" s="45"/>
      <c r="B334" s="173">
        <v>332</v>
      </c>
      <c r="C334" s="26" t="s">
        <v>1674</v>
      </c>
      <c r="D334" s="116">
        <v>42860</v>
      </c>
      <c r="E334" s="26" t="s">
        <v>1130</v>
      </c>
      <c r="F334" s="26" t="s">
        <v>1675</v>
      </c>
      <c r="G334" s="26" t="s">
        <v>1676</v>
      </c>
      <c r="H334" s="32">
        <v>461.38</v>
      </c>
      <c r="I334" s="173">
        <v>2600472</v>
      </c>
      <c r="J334" s="388">
        <v>5636.2911266201399</v>
      </c>
    </row>
    <row r="335" spans="1:10" ht="13.5" customHeight="1">
      <c r="A335" s="45"/>
      <c r="B335" s="173">
        <v>333</v>
      </c>
      <c r="C335" s="26" t="s">
        <v>1677</v>
      </c>
      <c r="D335" s="116">
        <v>42861</v>
      </c>
      <c r="E335" s="26" t="s">
        <v>1127</v>
      </c>
      <c r="F335" s="26" t="s">
        <v>1196</v>
      </c>
      <c r="G335" s="26" t="s">
        <v>1678</v>
      </c>
      <c r="H335" s="32">
        <v>297.82</v>
      </c>
      <c r="I335" s="173">
        <v>1804237</v>
      </c>
      <c r="J335" s="388">
        <v>6058.1458599153902</v>
      </c>
    </row>
    <row r="336" spans="1:10" ht="13.5" customHeight="1">
      <c r="A336" s="45"/>
      <c r="B336" s="173">
        <v>334</v>
      </c>
      <c r="C336" s="26" t="s">
        <v>1679</v>
      </c>
      <c r="D336" s="389">
        <v>42865</v>
      </c>
      <c r="E336" s="26" t="s">
        <v>1091</v>
      </c>
      <c r="F336" s="26" t="s">
        <v>1426</v>
      </c>
      <c r="G336" s="26" t="s">
        <v>1680</v>
      </c>
      <c r="H336" s="89">
        <v>461.38</v>
      </c>
      <c r="I336" s="173">
        <v>2884430</v>
      </c>
      <c r="J336" s="388">
        <v>6251.7447657028897</v>
      </c>
    </row>
    <row r="337" spans="1:10" ht="13.5" customHeight="1">
      <c r="A337" s="45"/>
      <c r="B337" s="173">
        <v>335</v>
      </c>
      <c r="C337" s="26" t="s">
        <v>1681</v>
      </c>
      <c r="D337" s="116">
        <v>42868</v>
      </c>
      <c r="E337" s="26" t="s">
        <v>1130</v>
      </c>
      <c r="F337" s="26" t="s">
        <v>1572</v>
      </c>
      <c r="G337" s="26" t="s">
        <v>1682</v>
      </c>
      <c r="H337" s="32">
        <v>461.38</v>
      </c>
      <c r="I337" s="173">
        <v>3242280</v>
      </c>
      <c r="J337" s="388">
        <v>7027.35272443539</v>
      </c>
    </row>
    <row r="338" spans="1:10" ht="13.5" customHeight="1">
      <c r="A338" s="45"/>
      <c r="B338" s="173">
        <v>336</v>
      </c>
      <c r="C338" s="26" t="s">
        <v>1683</v>
      </c>
      <c r="D338" s="116">
        <v>42874</v>
      </c>
      <c r="E338" s="26" t="s">
        <v>1112</v>
      </c>
      <c r="F338" s="26" t="s">
        <v>1684</v>
      </c>
      <c r="G338" s="26" t="s">
        <v>1685</v>
      </c>
      <c r="H338" s="32">
        <v>919.12</v>
      </c>
      <c r="I338" s="173">
        <v>5221692</v>
      </c>
      <c r="J338" s="388">
        <v>5681.1863521629402</v>
      </c>
    </row>
    <row r="339" spans="1:10" ht="13.5" customHeight="1">
      <c r="A339" s="45"/>
      <c r="B339" s="173">
        <v>337</v>
      </c>
      <c r="C339" s="26" t="s">
        <v>1686</v>
      </c>
      <c r="D339" s="116">
        <v>42879</v>
      </c>
      <c r="E339" s="26" t="s">
        <v>1091</v>
      </c>
      <c r="F339" s="26" t="s">
        <v>1542</v>
      </c>
      <c r="G339" s="26" t="s">
        <v>1687</v>
      </c>
      <c r="H339" s="32">
        <v>461.38</v>
      </c>
      <c r="I339" s="173">
        <v>3294479</v>
      </c>
      <c r="J339" s="388">
        <v>7140.4894013611301</v>
      </c>
    </row>
    <row r="340" spans="1:10" ht="13.5" customHeight="1">
      <c r="A340" s="45"/>
      <c r="B340" s="173">
        <v>338</v>
      </c>
      <c r="C340" s="26" t="s">
        <v>1660</v>
      </c>
      <c r="D340" s="116">
        <v>42888</v>
      </c>
      <c r="E340" s="26" t="s">
        <v>1374</v>
      </c>
      <c r="F340" s="26" t="s">
        <v>1661</v>
      </c>
      <c r="G340" s="26" t="s">
        <v>1688</v>
      </c>
      <c r="H340" s="32">
        <v>130</v>
      </c>
      <c r="I340" s="173">
        <v>1106300</v>
      </c>
      <c r="J340" s="388">
        <v>8510</v>
      </c>
    </row>
    <row r="341" spans="1:10" ht="13.5" customHeight="1">
      <c r="A341" s="45"/>
      <c r="B341" s="173">
        <v>339</v>
      </c>
      <c r="C341" s="26" t="s">
        <v>1689</v>
      </c>
      <c r="D341" s="116">
        <v>42889</v>
      </c>
      <c r="E341" s="26" t="s">
        <v>1091</v>
      </c>
      <c r="F341" s="26" t="s">
        <v>1053</v>
      </c>
      <c r="G341" s="26" t="s">
        <v>1690</v>
      </c>
      <c r="H341" s="32">
        <v>297.82</v>
      </c>
      <c r="I341" s="173">
        <v>1805314</v>
      </c>
      <c r="J341" s="388">
        <v>6061.7621382042798</v>
      </c>
    </row>
    <row r="342" spans="1:10" ht="13.5" customHeight="1">
      <c r="A342" s="45"/>
      <c r="B342" s="173">
        <v>340</v>
      </c>
      <c r="C342" s="26" t="s">
        <v>1691</v>
      </c>
      <c r="D342" s="116">
        <v>42901</v>
      </c>
      <c r="E342" s="26" t="s">
        <v>1109</v>
      </c>
      <c r="F342" s="26" t="s">
        <v>1240</v>
      </c>
      <c r="G342" s="26" t="s">
        <v>1692</v>
      </c>
      <c r="H342" s="32">
        <v>950</v>
      </c>
      <c r="I342" s="173">
        <v>4759702</v>
      </c>
      <c r="J342" s="388">
        <v>5010.2126315789501</v>
      </c>
    </row>
    <row r="343" spans="1:10" ht="13.5" customHeight="1">
      <c r="A343" s="45"/>
      <c r="B343" s="173">
        <v>341</v>
      </c>
      <c r="C343" s="26" t="s">
        <v>1693</v>
      </c>
      <c r="D343" s="116">
        <v>42906</v>
      </c>
      <c r="E343" s="26" t="s">
        <v>1374</v>
      </c>
      <c r="F343" s="26" t="s">
        <v>1694</v>
      </c>
      <c r="G343" s="26" t="s">
        <v>1695</v>
      </c>
      <c r="H343" s="32">
        <v>919.12</v>
      </c>
      <c r="I343" s="173">
        <v>8745956</v>
      </c>
      <c r="J343" s="388">
        <v>9515.5757681260293</v>
      </c>
    </row>
    <row r="344" spans="1:10" ht="13.5" customHeight="1">
      <c r="A344" s="45"/>
      <c r="B344" s="173">
        <v>342</v>
      </c>
      <c r="C344" s="26" t="s">
        <v>1696</v>
      </c>
      <c r="D344" s="116">
        <v>42924</v>
      </c>
      <c r="E344" s="26" t="s">
        <v>1091</v>
      </c>
      <c r="F344" s="26" t="s">
        <v>1560</v>
      </c>
      <c r="G344" s="26" t="s">
        <v>1697</v>
      </c>
      <c r="H344" s="32">
        <v>461.38</v>
      </c>
      <c r="I344" s="173">
        <v>2900004</v>
      </c>
      <c r="J344" s="388">
        <v>6285.50002167411</v>
      </c>
    </row>
    <row r="345" spans="1:10" ht="13.5" customHeight="1">
      <c r="A345" s="45"/>
      <c r="B345" s="173">
        <v>343</v>
      </c>
      <c r="C345" s="26" t="s">
        <v>1698</v>
      </c>
      <c r="D345" s="116">
        <v>42924</v>
      </c>
      <c r="E345" s="26" t="s">
        <v>1091</v>
      </c>
      <c r="F345" s="26" t="s">
        <v>1699</v>
      </c>
      <c r="G345" s="26" t="s">
        <v>1700</v>
      </c>
      <c r="H345" s="32">
        <v>461.38</v>
      </c>
      <c r="I345" s="173">
        <v>3113000</v>
      </c>
      <c r="J345" s="388">
        <v>6747.1498547834799</v>
      </c>
    </row>
    <row r="346" spans="1:10" ht="13.5" customHeight="1">
      <c r="A346" s="45"/>
      <c r="B346" s="173">
        <v>344</v>
      </c>
      <c r="C346" s="26" t="s">
        <v>1701</v>
      </c>
      <c r="D346" s="116">
        <v>42928</v>
      </c>
      <c r="E346" s="26" t="s">
        <v>1302</v>
      </c>
      <c r="F346" s="26" t="s">
        <v>1702</v>
      </c>
      <c r="G346" s="26" t="s">
        <v>1703</v>
      </c>
      <c r="H346" s="32">
        <v>446.73</v>
      </c>
      <c r="I346" s="173">
        <v>2806694</v>
      </c>
      <c r="J346" s="388">
        <v>6282.7524455487701</v>
      </c>
    </row>
    <row r="347" spans="1:10" ht="13.5" customHeight="1">
      <c r="A347" s="45"/>
      <c r="B347" s="173">
        <v>345</v>
      </c>
      <c r="C347" s="26" t="s">
        <v>1704</v>
      </c>
      <c r="D347" s="116">
        <v>42928</v>
      </c>
      <c r="E347" s="26" t="s">
        <v>1091</v>
      </c>
      <c r="F347" s="26" t="s">
        <v>975</v>
      </c>
      <c r="G347" s="26" t="s">
        <v>1705</v>
      </c>
      <c r="H347" s="32">
        <v>446.73</v>
      </c>
      <c r="I347" s="173">
        <v>3155879</v>
      </c>
      <c r="J347" s="388">
        <v>7064.3990777427098</v>
      </c>
    </row>
    <row r="348" spans="1:10" ht="13.5" customHeight="1">
      <c r="A348" s="45"/>
      <c r="B348" s="173">
        <v>346</v>
      </c>
      <c r="C348" s="26" t="s">
        <v>1706</v>
      </c>
      <c r="D348" s="116">
        <v>42931</v>
      </c>
      <c r="E348" s="26" t="s">
        <v>1112</v>
      </c>
      <c r="F348" s="26" t="s">
        <v>1661</v>
      </c>
      <c r="G348" s="26" t="s">
        <v>1707</v>
      </c>
      <c r="H348" s="32">
        <v>130</v>
      </c>
      <c r="I348" s="173">
        <v>1345500</v>
      </c>
      <c r="J348" s="388">
        <v>10350</v>
      </c>
    </row>
    <row r="349" spans="1:10" ht="13.5" customHeight="1">
      <c r="A349" s="45"/>
      <c r="B349" s="173">
        <v>347</v>
      </c>
      <c r="C349" s="26" t="s">
        <v>1708</v>
      </c>
      <c r="D349" s="116">
        <v>42943</v>
      </c>
      <c r="E349" s="26" t="s">
        <v>1148</v>
      </c>
      <c r="F349" s="26" t="s">
        <v>1560</v>
      </c>
      <c r="G349" s="26" t="s">
        <v>1709</v>
      </c>
      <c r="H349" s="32">
        <v>461.38</v>
      </c>
      <c r="I349" s="173">
        <v>3417280</v>
      </c>
      <c r="J349" s="388">
        <v>7406.6496163682896</v>
      </c>
    </row>
    <row r="350" spans="1:10" ht="13.5" customHeight="1">
      <c r="A350" s="45"/>
      <c r="B350" s="173">
        <v>348</v>
      </c>
      <c r="C350" s="26" t="s">
        <v>1710</v>
      </c>
      <c r="D350" s="116">
        <v>42943</v>
      </c>
      <c r="E350" s="26" t="s">
        <v>1148</v>
      </c>
      <c r="F350" s="26" t="s">
        <v>1423</v>
      </c>
      <c r="G350" s="26" t="s">
        <v>1711</v>
      </c>
      <c r="H350" s="32">
        <v>461.38</v>
      </c>
      <c r="I350" s="173">
        <v>2397280</v>
      </c>
      <c r="J350" s="388">
        <v>5195.8905891022596</v>
      </c>
    </row>
    <row r="351" spans="1:10" ht="13.5" customHeight="1">
      <c r="A351" s="45"/>
      <c r="B351" s="173">
        <v>349</v>
      </c>
      <c r="C351" s="26" t="s">
        <v>1712</v>
      </c>
      <c r="D351" s="116">
        <v>42952</v>
      </c>
      <c r="E351" s="26" t="s">
        <v>1091</v>
      </c>
      <c r="F351" s="26" t="s">
        <v>972</v>
      </c>
      <c r="G351" s="26" t="s">
        <v>1713</v>
      </c>
      <c r="H351" s="32">
        <v>297.82</v>
      </c>
      <c r="I351" s="173">
        <v>2063714</v>
      </c>
      <c r="J351" s="388">
        <v>6929.4003089114203</v>
      </c>
    </row>
    <row r="352" spans="1:10" ht="13.5" customHeight="1">
      <c r="A352" s="45"/>
      <c r="B352" s="173">
        <v>350</v>
      </c>
      <c r="C352" s="26" t="s">
        <v>1714</v>
      </c>
      <c r="D352" s="116">
        <v>43017</v>
      </c>
      <c r="E352" s="26" t="s">
        <v>1130</v>
      </c>
      <c r="F352" s="26" t="s">
        <v>1639</v>
      </c>
      <c r="G352" s="26" t="s">
        <v>1715</v>
      </c>
      <c r="H352" s="32">
        <v>461.38</v>
      </c>
      <c r="I352" s="173">
        <v>3204284</v>
      </c>
      <c r="J352" s="388">
        <v>6944.9997832589197</v>
      </c>
    </row>
    <row r="353" spans="1:10" ht="13.5" customHeight="1">
      <c r="A353" s="45"/>
      <c r="B353" s="173">
        <v>351</v>
      </c>
      <c r="C353" s="26" t="s">
        <v>1716</v>
      </c>
      <c r="D353" s="116">
        <v>43022</v>
      </c>
      <c r="E353" s="26" t="s">
        <v>1127</v>
      </c>
      <c r="F353" s="26" t="s">
        <v>992</v>
      </c>
      <c r="G353" s="26" t="s">
        <v>1717</v>
      </c>
      <c r="H353" s="32">
        <v>297.82</v>
      </c>
      <c r="I353" s="173">
        <v>1982443</v>
      </c>
      <c r="J353" s="388">
        <v>6656.5140017460199</v>
      </c>
    </row>
    <row r="354" spans="1:10" ht="13.5" customHeight="1">
      <c r="A354" s="45"/>
      <c r="B354" s="173">
        <v>352</v>
      </c>
      <c r="C354" s="26" t="s">
        <v>1718</v>
      </c>
      <c r="D354" s="389">
        <v>43024</v>
      </c>
      <c r="E354" s="26" t="s">
        <v>1302</v>
      </c>
      <c r="F354" s="26" t="s">
        <v>1719</v>
      </c>
      <c r="G354" s="26" t="s">
        <v>1720</v>
      </c>
      <c r="H354" s="89">
        <v>297.82</v>
      </c>
      <c r="I354" s="173">
        <v>2052443</v>
      </c>
      <c r="J354" s="388">
        <v>6891.5553018601804</v>
      </c>
    </row>
    <row r="355" spans="1:10" ht="13.5" customHeight="1">
      <c r="A355" s="45"/>
      <c r="B355" s="173">
        <v>353</v>
      </c>
      <c r="C355" s="26" t="s">
        <v>1721</v>
      </c>
      <c r="D355" s="116">
        <v>43025</v>
      </c>
      <c r="E355" s="26" t="s">
        <v>1239</v>
      </c>
      <c r="F355" s="26" t="s">
        <v>981</v>
      </c>
      <c r="G355" s="26" t="s">
        <v>1722</v>
      </c>
      <c r="H355" s="32">
        <v>446.73</v>
      </c>
      <c r="I355" s="173">
        <v>2607356</v>
      </c>
      <c r="J355" s="388">
        <v>5836.5366104805998</v>
      </c>
    </row>
    <row r="356" spans="1:10" ht="13.5" customHeight="1">
      <c r="A356" s="45"/>
      <c r="B356" s="173">
        <v>354</v>
      </c>
      <c r="C356" s="26" t="s">
        <v>1723</v>
      </c>
      <c r="D356" s="116">
        <v>43026</v>
      </c>
      <c r="E356" s="26" t="s">
        <v>1302</v>
      </c>
      <c r="F356" s="26" t="s">
        <v>1724</v>
      </c>
      <c r="G356" s="26" t="s">
        <v>1725</v>
      </c>
      <c r="H356" s="32">
        <v>297.82</v>
      </c>
      <c r="I356" s="173">
        <v>1972237</v>
      </c>
      <c r="J356" s="388">
        <v>6622.2449801893799</v>
      </c>
    </row>
    <row r="357" spans="1:10" ht="13.5" customHeight="1">
      <c r="A357" s="45"/>
      <c r="B357" s="173">
        <v>355</v>
      </c>
      <c r="C357" s="26" t="s">
        <v>1726</v>
      </c>
      <c r="D357" s="116">
        <v>43031</v>
      </c>
      <c r="E357" s="26" t="s">
        <v>1091</v>
      </c>
      <c r="F357" s="26" t="s">
        <v>970</v>
      </c>
      <c r="G357" s="26" t="s">
        <v>1727</v>
      </c>
      <c r="H357" s="32">
        <v>446.73</v>
      </c>
      <c r="I357" s="173">
        <v>2805711</v>
      </c>
      <c r="J357" s="388">
        <v>6280.5520112819804</v>
      </c>
    </row>
    <row r="358" spans="1:10" ht="13.5" customHeight="1">
      <c r="A358" s="45"/>
      <c r="B358" s="173">
        <v>356</v>
      </c>
      <c r="C358" s="26" t="s">
        <v>1728</v>
      </c>
      <c r="D358" s="116">
        <v>43032</v>
      </c>
      <c r="E358" s="26" t="s">
        <v>1099</v>
      </c>
      <c r="F358" s="26" t="s">
        <v>1642</v>
      </c>
      <c r="G358" s="26" t="s">
        <v>1729</v>
      </c>
      <c r="H358" s="32">
        <v>919.12</v>
      </c>
      <c r="I358" s="173">
        <v>6537868</v>
      </c>
      <c r="J358" s="388">
        <v>7113.1821742536304</v>
      </c>
    </row>
    <row r="359" spans="1:10" ht="13.5" customHeight="1">
      <c r="A359" s="45"/>
      <c r="B359" s="173">
        <v>357</v>
      </c>
      <c r="C359" s="26" t="s">
        <v>1730</v>
      </c>
      <c r="D359" s="116">
        <v>43038</v>
      </c>
      <c r="E359" s="26" t="s">
        <v>1112</v>
      </c>
      <c r="F359" s="26" t="s">
        <v>1731</v>
      </c>
      <c r="G359" s="26" t="s">
        <v>1732</v>
      </c>
      <c r="H359" s="32">
        <v>919.12</v>
      </c>
      <c r="I359" s="173">
        <v>13900000</v>
      </c>
      <c r="J359" s="388">
        <v>15123.161284707099</v>
      </c>
    </row>
    <row r="360" spans="1:10" ht="13.5" customHeight="1">
      <c r="A360" s="45"/>
      <c r="B360" s="173">
        <v>358</v>
      </c>
      <c r="C360" s="26" t="s">
        <v>1733</v>
      </c>
      <c r="D360" s="116">
        <v>43038</v>
      </c>
      <c r="E360" s="26" t="s">
        <v>1091</v>
      </c>
      <c r="F360" s="26" t="s">
        <v>1599</v>
      </c>
      <c r="G360" s="26" t="s">
        <v>1734</v>
      </c>
      <c r="H360" s="32">
        <v>461.38</v>
      </c>
      <c r="I360" s="173">
        <v>3861589</v>
      </c>
      <c r="J360" s="388">
        <v>8369.6497464129407</v>
      </c>
    </row>
    <row r="361" spans="1:10" ht="13.5" customHeight="1">
      <c r="A361" s="45"/>
      <c r="B361" s="173">
        <v>359</v>
      </c>
      <c r="C361" s="26" t="s">
        <v>1735</v>
      </c>
      <c r="D361" s="116">
        <v>43039</v>
      </c>
      <c r="E361" s="26" t="s">
        <v>1173</v>
      </c>
      <c r="F361" s="26" t="s">
        <v>1253</v>
      </c>
      <c r="G361" s="26" t="s">
        <v>1736</v>
      </c>
      <c r="H361" s="32">
        <v>446.73</v>
      </c>
      <c r="I361" s="173">
        <v>2969961</v>
      </c>
      <c r="J361" s="388">
        <v>6648.2237593177097</v>
      </c>
    </row>
    <row r="362" spans="1:10" ht="13.5" customHeight="1">
      <c r="A362" s="45"/>
      <c r="B362" s="173">
        <v>360</v>
      </c>
      <c r="C362" s="26" t="s">
        <v>1737</v>
      </c>
      <c r="D362" s="116">
        <v>43045</v>
      </c>
      <c r="E362" s="26" t="s">
        <v>1148</v>
      </c>
      <c r="F362" s="26" t="s">
        <v>911</v>
      </c>
      <c r="G362" s="26" t="s">
        <v>1738</v>
      </c>
      <c r="H362" s="32">
        <v>297.82</v>
      </c>
      <c r="I362" s="173">
        <v>2068360</v>
      </c>
      <c r="J362" s="388">
        <v>6945.0003357732903</v>
      </c>
    </row>
    <row r="363" spans="1:10" ht="13.5" customHeight="1">
      <c r="A363" s="45"/>
      <c r="B363" s="173">
        <v>361</v>
      </c>
      <c r="C363" s="26" t="s">
        <v>1739</v>
      </c>
      <c r="D363" s="116">
        <v>43046</v>
      </c>
      <c r="E363" s="26" t="s">
        <v>1099</v>
      </c>
      <c r="F363" s="26" t="s">
        <v>1740</v>
      </c>
      <c r="G363" s="26" t="s">
        <v>1741</v>
      </c>
      <c r="H363" s="32">
        <v>919.12</v>
      </c>
      <c r="I363" s="173">
        <v>6800042</v>
      </c>
      <c r="J363" s="388">
        <v>7398.4267560275002</v>
      </c>
    </row>
    <row r="364" spans="1:10" ht="13.5" customHeight="1">
      <c r="A364" s="45"/>
      <c r="B364" s="173">
        <v>362</v>
      </c>
      <c r="C364" s="26" t="s">
        <v>1742</v>
      </c>
      <c r="D364" s="116">
        <v>43052</v>
      </c>
      <c r="E364" s="26" t="s">
        <v>1130</v>
      </c>
      <c r="F364" s="26" t="s">
        <v>953</v>
      </c>
      <c r="G364" s="26" t="s">
        <v>1743</v>
      </c>
      <c r="H364" s="32">
        <v>297.82</v>
      </c>
      <c r="I364" s="173">
        <v>2239932</v>
      </c>
      <c r="J364" s="388">
        <v>7521.0932778188198</v>
      </c>
    </row>
    <row r="365" spans="1:10" ht="13.5" customHeight="1">
      <c r="A365" s="45"/>
      <c r="B365" s="173">
        <v>363</v>
      </c>
      <c r="C365" s="26" t="s">
        <v>1744</v>
      </c>
      <c r="D365" s="116">
        <v>43052</v>
      </c>
      <c r="E365" s="26" t="s">
        <v>1013</v>
      </c>
      <c r="F365" s="26" t="s">
        <v>1145</v>
      </c>
      <c r="G365" s="26" t="s">
        <v>1745</v>
      </c>
      <c r="H365" s="32">
        <v>446.73</v>
      </c>
      <c r="I365" s="173">
        <v>3000000</v>
      </c>
      <c r="J365" s="388">
        <v>6715.4657175475104</v>
      </c>
    </row>
    <row r="366" spans="1:10" ht="13.5" customHeight="1">
      <c r="A366" s="45"/>
      <c r="B366" s="173">
        <v>364</v>
      </c>
      <c r="C366" s="26" t="s">
        <v>1746</v>
      </c>
      <c r="D366" s="116">
        <v>43053</v>
      </c>
      <c r="E366" s="26" t="s">
        <v>1239</v>
      </c>
      <c r="F366" s="26" t="s">
        <v>962</v>
      </c>
      <c r="G366" s="26" t="s">
        <v>1747</v>
      </c>
      <c r="H366" s="32">
        <v>446.73</v>
      </c>
      <c r="I366" s="173">
        <v>3696356</v>
      </c>
      <c r="J366" s="388">
        <v>8274.2506659503506</v>
      </c>
    </row>
    <row r="367" spans="1:10" ht="13.5" customHeight="1">
      <c r="A367" s="45"/>
      <c r="B367" s="173">
        <v>365</v>
      </c>
      <c r="C367" s="26" t="s">
        <v>1748</v>
      </c>
      <c r="D367" s="116">
        <v>43054</v>
      </c>
      <c r="E367" s="26" t="s">
        <v>1374</v>
      </c>
      <c r="F367" s="26" t="s">
        <v>1749</v>
      </c>
      <c r="G367" s="26" t="s">
        <v>1750</v>
      </c>
      <c r="H367" s="32">
        <v>919.12</v>
      </c>
      <c r="I367" s="173">
        <v>7683824</v>
      </c>
      <c r="J367" s="388">
        <v>8359.9791104534797</v>
      </c>
    </row>
    <row r="368" spans="1:10" ht="13.5" customHeight="1">
      <c r="A368" s="45"/>
      <c r="B368" s="173">
        <v>366</v>
      </c>
      <c r="C368" s="26" t="s">
        <v>1751</v>
      </c>
      <c r="D368" s="116">
        <v>43062</v>
      </c>
      <c r="E368" s="26" t="s">
        <v>1099</v>
      </c>
      <c r="F368" s="26" t="s">
        <v>1752</v>
      </c>
      <c r="G368" s="26" t="s">
        <v>1753</v>
      </c>
      <c r="H368" s="32">
        <v>919.12</v>
      </c>
      <c r="I368" s="173">
        <v>7802736</v>
      </c>
      <c r="J368" s="388">
        <v>8489.3550352511102</v>
      </c>
    </row>
    <row r="369" spans="1:10" ht="13.5" customHeight="1">
      <c r="A369" s="45"/>
      <c r="B369" s="173">
        <v>367</v>
      </c>
      <c r="C369" s="26" t="s">
        <v>1754</v>
      </c>
      <c r="D369" s="116">
        <v>43068</v>
      </c>
      <c r="E369" s="26" t="s">
        <v>1173</v>
      </c>
      <c r="F369" s="26" t="s">
        <v>1755</v>
      </c>
      <c r="G369" s="26" t="s">
        <v>1756</v>
      </c>
      <c r="H369" s="32">
        <v>297.82</v>
      </c>
      <c r="I369" s="173">
        <v>1804237</v>
      </c>
      <c r="J369" s="388">
        <v>6058.1458599153902</v>
      </c>
    </row>
    <row r="370" spans="1:10" ht="13.5" customHeight="1">
      <c r="A370" s="45"/>
      <c r="B370" s="173">
        <v>368</v>
      </c>
      <c r="C370" s="26" t="s">
        <v>1757</v>
      </c>
      <c r="D370" s="116">
        <v>43068</v>
      </c>
      <c r="E370" s="26" t="s">
        <v>1130</v>
      </c>
      <c r="F370" s="26" t="s">
        <v>1025</v>
      </c>
      <c r="G370" s="26" t="s">
        <v>1758</v>
      </c>
      <c r="H370" s="32">
        <v>297.82</v>
      </c>
      <c r="I370" s="173">
        <v>2000000</v>
      </c>
      <c r="J370" s="388">
        <v>6715.4657175475104</v>
      </c>
    </row>
    <row r="371" spans="1:10" ht="13.5" customHeight="1">
      <c r="A371" s="45"/>
      <c r="B371" s="173">
        <v>369</v>
      </c>
      <c r="C371" s="26" t="s">
        <v>1759</v>
      </c>
      <c r="D371" s="116">
        <v>43092</v>
      </c>
      <c r="E371" s="26" t="s">
        <v>1374</v>
      </c>
      <c r="F371" s="26" t="s">
        <v>1760</v>
      </c>
      <c r="G371" s="26" t="s">
        <v>1761</v>
      </c>
      <c r="H371" s="32">
        <v>170</v>
      </c>
      <c r="I371" s="173">
        <v>925000</v>
      </c>
      <c r="J371" s="388">
        <v>5441.1764705882397</v>
      </c>
    </row>
    <row r="372" spans="1:10" ht="13.5" customHeight="1">
      <c r="A372" s="45"/>
      <c r="B372" s="173">
        <v>370</v>
      </c>
      <c r="C372" s="26" t="s">
        <v>1762</v>
      </c>
      <c r="D372" s="116">
        <v>43097</v>
      </c>
      <c r="E372" s="26" t="s">
        <v>1109</v>
      </c>
      <c r="F372" s="26" t="s">
        <v>1103</v>
      </c>
      <c r="G372" s="26" t="s">
        <v>1763</v>
      </c>
      <c r="H372" s="32">
        <v>712.49</v>
      </c>
      <c r="I372" s="173">
        <v>4948244</v>
      </c>
      <c r="J372" s="388">
        <v>6945.0013333520501</v>
      </c>
    </row>
    <row r="373" spans="1:10" ht="13.5" customHeight="1">
      <c r="A373" s="45"/>
      <c r="B373" s="173">
        <v>371</v>
      </c>
      <c r="C373" s="26" t="s">
        <v>1764</v>
      </c>
      <c r="D373" s="116">
        <v>43104</v>
      </c>
      <c r="E373" s="26" t="s">
        <v>895</v>
      </c>
      <c r="F373" s="26" t="s">
        <v>967</v>
      </c>
      <c r="G373" s="26" t="s">
        <v>1765</v>
      </c>
      <c r="H373" s="32">
        <v>446.73</v>
      </c>
      <c r="I373" s="173">
        <v>3056356</v>
      </c>
      <c r="J373" s="388">
        <v>6841.6179795402104</v>
      </c>
    </row>
    <row r="374" spans="1:10" ht="13.5" customHeight="1">
      <c r="A374" s="45"/>
      <c r="B374" s="173">
        <v>372</v>
      </c>
      <c r="C374" s="26" t="s">
        <v>1766</v>
      </c>
      <c r="D374" s="116">
        <v>43104</v>
      </c>
      <c r="E374" s="26" t="s">
        <v>1127</v>
      </c>
      <c r="F374" s="26" t="s">
        <v>1755</v>
      </c>
      <c r="G374" s="26" t="s">
        <v>1767</v>
      </c>
      <c r="H374" s="32">
        <v>297.82</v>
      </c>
      <c r="I374" s="173">
        <v>2225490</v>
      </c>
      <c r="J374" s="388">
        <v>7472.6008998724101</v>
      </c>
    </row>
    <row r="375" spans="1:10" ht="13.5" customHeight="1">
      <c r="A375" s="45"/>
      <c r="B375" s="173">
        <v>373</v>
      </c>
      <c r="C375" s="26" t="s">
        <v>1766</v>
      </c>
      <c r="D375" s="116">
        <v>43104</v>
      </c>
      <c r="E375" s="26" t="s">
        <v>1127</v>
      </c>
      <c r="F375" s="26" t="s">
        <v>953</v>
      </c>
      <c r="G375" s="26" t="s">
        <v>1768</v>
      </c>
      <c r="H375" s="32">
        <v>297.82</v>
      </c>
      <c r="I375" s="173">
        <v>2225490</v>
      </c>
      <c r="J375" s="388">
        <v>7472.6008998724101</v>
      </c>
    </row>
    <row r="376" spans="1:10" ht="13.5" customHeight="1">
      <c r="A376" s="45"/>
      <c r="B376" s="173">
        <v>374</v>
      </c>
      <c r="C376" s="26" t="s">
        <v>1769</v>
      </c>
      <c r="D376" s="116">
        <v>43116</v>
      </c>
      <c r="E376" s="26" t="s">
        <v>920</v>
      </c>
      <c r="F376" s="26" t="s">
        <v>1234</v>
      </c>
      <c r="G376" s="26" t="s">
        <v>1770</v>
      </c>
      <c r="H376" s="32">
        <v>712.49</v>
      </c>
      <c r="I376" s="173">
        <v>4323759</v>
      </c>
      <c r="J376" s="388">
        <v>6068.5188564050004</v>
      </c>
    </row>
    <row r="377" spans="1:10" ht="13.5" customHeight="1">
      <c r="A377" s="45"/>
      <c r="B377" s="173">
        <v>375</v>
      </c>
      <c r="C377" s="26" t="s">
        <v>1771</v>
      </c>
      <c r="D377" s="116">
        <v>43131</v>
      </c>
      <c r="E377" s="26" t="s">
        <v>1127</v>
      </c>
      <c r="F377" s="26" t="s">
        <v>1340</v>
      </c>
      <c r="G377" s="26" t="s">
        <v>1772</v>
      </c>
      <c r="H377" s="32">
        <v>297.82</v>
      </c>
      <c r="I377" s="173">
        <v>1571357</v>
      </c>
      <c r="J377" s="388">
        <v>5276.1970317641499</v>
      </c>
    </row>
    <row r="378" spans="1:10" ht="13.5" customHeight="1">
      <c r="A378" s="45"/>
      <c r="B378" s="173">
        <v>376</v>
      </c>
      <c r="C378" s="26" t="s">
        <v>1773</v>
      </c>
      <c r="D378" s="116">
        <v>43140</v>
      </c>
      <c r="E378" s="26" t="s">
        <v>1013</v>
      </c>
      <c r="F378" s="26" t="s">
        <v>1253</v>
      </c>
      <c r="G378" s="26" t="s">
        <v>1774</v>
      </c>
      <c r="H378" s="32">
        <v>446.73</v>
      </c>
      <c r="I378" s="173">
        <v>2900728</v>
      </c>
      <c r="J378" s="388">
        <v>6493.2464799767204</v>
      </c>
    </row>
    <row r="379" spans="1:10" ht="13.5" customHeight="1">
      <c r="A379" s="45"/>
      <c r="B379" s="173">
        <v>377</v>
      </c>
      <c r="C379" s="26" t="s">
        <v>1775</v>
      </c>
      <c r="D379" s="116">
        <v>43180</v>
      </c>
      <c r="E379" s="26" t="s">
        <v>1127</v>
      </c>
      <c r="F379" s="26" t="s">
        <v>1008</v>
      </c>
      <c r="G379" s="26" t="s">
        <v>1776</v>
      </c>
      <c r="H379" s="32">
        <v>297.82</v>
      </c>
      <c r="I379" s="173">
        <v>2117463</v>
      </c>
      <c r="J379" s="388">
        <v>7109.8750923376501</v>
      </c>
    </row>
    <row r="380" spans="1:10" ht="13.5" customHeight="1">
      <c r="A380" s="45"/>
      <c r="B380" s="173">
        <v>378</v>
      </c>
      <c r="C380" s="26" t="s">
        <v>1777</v>
      </c>
      <c r="D380" s="116">
        <v>43188</v>
      </c>
      <c r="E380" s="26" t="s">
        <v>1127</v>
      </c>
      <c r="F380" s="26" t="s">
        <v>959</v>
      </c>
      <c r="G380" s="26" t="s">
        <v>1778</v>
      </c>
      <c r="H380" s="32">
        <v>297.82</v>
      </c>
      <c r="I380" s="173">
        <v>1601151</v>
      </c>
      <c r="J380" s="388">
        <v>5376.2373245584604</v>
      </c>
    </row>
    <row r="381" spans="1:10" ht="13.5" customHeight="1">
      <c r="A381" s="45"/>
      <c r="B381" s="173">
        <v>379</v>
      </c>
      <c r="C381" s="26" t="s">
        <v>1779</v>
      </c>
      <c r="D381" s="116">
        <v>43204</v>
      </c>
      <c r="E381" s="26" t="s">
        <v>1112</v>
      </c>
      <c r="F381" s="26" t="s">
        <v>1780</v>
      </c>
      <c r="G381" s="26" t="s">
        <v>1781</v>
      </c>
      <c r="H381" s="32">
        <v>1065.49</v>
      </c>
      <c r="I381" s="173">
        <v>15327249</v>
      </c>
      <c r="J381" s="388">
        <v>14385.1645721687</v>
      </c>
    </row>
    <row r="382" spans="1:10" ht="13.5" customHeight="1">
      <c r="A382" s="45"/>
      <c r="B382" s="173">
        <v>380</v>
      </c>
      <c r="C382" s="26" t="s">
        <v>1782</v>
      </c>
      <c r="D382" s="116">
        <v>43209</v>
      </c>
      <c r="E382" s="26" t="s">
        <v>1127</v>
      </c>
      <c r="F382" s="26" t="s">
        <v>1000</v>
      </c>
      <c r="G382" s="26" t="s">
        <v>1783</v>
      </c>
      <c r="H382" s="32">
        <v>297.82</v>
      </c>
      <c r="I382" s="173">
        <v>1965612</v>
      </c>
      <c r="J382" s="388">
        <v>6600</v>
      </c>
    </row>
    <row r="383" spans="1:10" ht="13.5" customHeight="1">
      <c r="A383" s="45"/>
      <c r="B383" s="173">
        <v>381</v>
      </c>
      <c r="C383" s="26" t="s">
        <v>1784</v>
      </c>
      <c r="D383" s="116">
        <v>43220</v>
      </c>
      <c r="E383" s="26" t="s">
        <v>910</v>
      </c>
      <c r="F383" s="26" t="s">
        <v>914</v>
      </c>
      <c r="G383" s="26" t="s">
        <v>1785</v>
      </c>
      <c r="H383" s="32">
        <v>446.73</v>
      </c>
      <c r="I383" s="173">
        <v>2896307</v>
      </c>
      <c r="J383" s="388">
        <v>6483.3501219976297</v>
      </c>
    </row>
    <row r="384" spans="1:10" ht="13.5" customHeight="1">
      <c r="A384" s="45"/>
      <c r="B384" s="173">
        <v>382</v>
      </c>
      <c r="C384" s="26" t="s">
        <v>1786</v>
      </c>
      <c r="D384" s="116">
        <v>43244</v>
      </c>
      <c r="E384" s="26" t="s">
        <v>1130</v>
      </c>
      <c r="F384" s="26" t="s">
        <v>950</v>
      </c>
      <c r="G384" s="26" t="s">
        <v>1787</v>
      </c>
      <c r="H384" s="32">
        <v>446.73</v>
      </c>
      <c r="I384" s="173">
        <v>3456082</v>
      </c>
      <c r="J384" s="388">
        <v>7736.4000626776797</v>
      </c>
    </row>
    <row r="385" spans="1:10" ht="13.5" customHeight="1">
      <c r="A385" s="45"/>
      <c r="B385" s="173">
        <v>383</v>
      </c>
      <c r="C385" s="26" t="s">
        <v>1788</v>
      </c>
      <c r="D385" s="116">
        <v>43253</v>
      </c>
      <c r="E385" s="26" t="s">
        <v>1302</v>
      </c>
      <c r="F385" s="26" t="s">
        <v>1789</v>
      </c>
      <c r="G385" s="26" t="s">
        <v>1790</v>
      </c>
      <c r="H385" s="32">
        <v>297.82</v>
      </c>
      <c r="I385" s="173">
        <v>2119682</v>
      </c>
      <c r="J385" s="388">
        <v>7117.3259015512704</v>
      </c>
    </row>
    <row r="386" spans="1:10" ht="13.5" customHeight="1">
      <c r="A386" s="45"/>
      <c r="B386" s="173">
        <v>384</v>
      </c>
      <c r="C386" s="26" t="s">
        <v>1791</v>
      </c>
      <c r="D386" s="116">
        <v>43258</v>
      </c>
      <c r="E386" s="26" t="s">
        <v>1173</v>
      </c>
      <c r="F386" s="26" t="s">
        <v>959</v>
      </c>
      <c r="G386" s="26" t="s">
        <v>1792</v>
      </c>
      <c r="H386" s="32">
        <v>446.73</v>
      </c>
      <c r="I386" s="173">
        <v>2881577</v>
      </c>
      <c r="J386" s="388">
        <v>6450.3771853244698</v>
      </c>
    </row>
    <row r="387" spans="1:10" ht="13.5" customHeight="1">
      <c r="A387" s="45"/>
      <c r="B387" s="173">
        <v>385</v>
      </c>
      <c r="C387" s="26" t="s">
        <v>1793</v>
      </c>
      <c r="D387" s="116">
        <v>43288</v>
      </c>
      <c r="E387" s="26" t="s">
        <v>1013</v>
      </c>
      <c r="F387" s="26" t="s">
        <v>953</v>
      </c>
      <c r="G387" s="26" t="s">
        <v>1794</v>
      </c>
      <c r="H387" s="32">
        <v>446.73</v>
      </c>
      <c r="I387" s="173">
        <v>3208773</v>
      </c>
      <c r="J387" s="388">
        <v>7182.8016922973602</v>
      </c>
    </row>
    <row r="388" spans="1:10" ht="13.5" customHeight="1">
      <c r="A388" s="45"/>
      <c r="B388" s="173">
        <v>386</v>
      </c>
      <c r="C388" s="26" t="s">
        <v>1795</v>
      </c>
      <c r="D388" s="116">
        <v>43301</v>
      </c>
      <c r="E388" s="26" t="s">
        <v>1130</v>
      </c>
      <c r="F388" s="26" t="s">
        <v>972</v>
      </c>
      <c r="G388" s="26" t="s">
        <v>1796</v>
      </c>
      <c r="H388" s="32">
        <v>297.82</v>
      </c>
      <c r="I388" s="173">
        <v>2134257</v>
      </c>
      <c r="J388" s="388">
        <v>7166.2648579678998</v>
      </c>
    </row>
    <row r="389" spans="1:10" ht="13.5" customHeight="1">
      <c r="A389" s="45"/>
      <c r="B389" s="173">
        <v>387</v>
      </c>
      <c r="C389" s="26" t="s">
        <v>1797</v>
      </c>
      <c r="D389" s="116">
        <v>43306</v>
      </c>
      <c r="E389" s="26" t="s">
        <v>1076</v>
      </c>
      <c r="F389" s="26" t="s">
        <v>992</v>
      </c>
      <c r="G389" s="26" t="s">
        <v>1798</v>
      </c>
      <c r="H389" s="32">
        <v>446.73</v>
      </c>
      <c r="I389" s="173">
        <v>3106356</v>
      </c>
      <c r="J389" s="388">
        <v>6953.5424081660103</v>
      </c>
    </row>
    <row r="390" spans="1:10" ht="13.5" customHeight="1">
      <c r="A390" s="45"/>
      <c r="B390" s="173">
        <v>388</v>
      </c>
      <c r="C390" s="26" t="s">
        <v>1799</v>
      </c>
      <c r="D390" s="116">
        <v>43321</v>
      </c>
      <c r="E390" s="26" t="s">
        <v>920</v>
      </c>
      <c r="F390" s="26" t="s">
        <v>947</v>
      </c>
      <c r="G390" s="26" t="s">
        <v>1800</v>
      </c>
      <c r="H390" s="32">
        <v>950</v>
      </c>
      <c r="I390" s="173">
        <v>5726331</v>
      </c>
      <c r="J390" s="388">
        <v>6027.7168421052602</v>
      </c>
    </row>
    <row r="391" spans="1:10" ht="13.5" customHeight="1">
      <c r="A391" s="45"/>
      <c r="B391" s="173">
        <v>389</v>
      </c>
      <c r="C391" s="26" t="s">
        <v>1801</v>
      </c>
      <c r="D391" s="116">
        <v>43336</v>
      </c>
      <c r="E391" s="26" t="s">
        <v>1076</v>
      </c>
      <c r="F391" s="26" t="s">
        <v>1036</v>
      </c>
      <c r="G391" s="26" t="s">
        <v>1802</v>
      </c>
      <c r="H391" s="32">
        <v>446.73</v>
      </c>
      <c r="I391" s="173">
        <v>3722337</v>
      </c>
      <c r="J391" s="388">
        <v>8332.4088375528809</v>
      </c>
    </row>
    <row r="392" spans="1:10" ht="13.5" customHeight="1">
      <c r="A392" s="45"/>
      <c r="B392" s="173">
        <v>390</v>
      </c>
      <c r="C392" s="26" t="s">
        <v>1803</v>
      </c>
      <c r="D392" s="116">
        <v>43362</v>
      </c>
      <c r="E392" s="26" t="s">
        <v>910</v>
      </c>
      <c r="F392" s="26" t="s">
        <v>1106</v>
      </c>
      <c r="G392" s="26" t="s">
        <v>1804</v>
      </c>
      <c r="H392" s="32">
        <v>458.48</v>
      </c>
      <c r="I392" s="173">
        <v>3669593</v>
      </c>
      <c r="J392" s="388">
        <v>8003.8235037515296</v>
      </c>
    </row>
    <row r="393" spans="1:10" ht="13.5" customHeight="1">
      <c r="A393" s="45"/>
      <c r="B393" s="173">
        <v>391</v>
      </c>
      <c r="C393" s="26" t="s">
        <v>1805</v>
      </c>
      <c r="D393" s="116">
        <v>43382</v>
      </c>
      <c r="E393" s="26" t="s">
        <v>1130</v>
      </c>
      <c r="F393" s="26" t="s">
        <v>1699</v>
      </c>
      <c r="G393" s="26" t="s">
        <v>1806</v>
      </c>
      <c r="H393" s="32">
        <v>461.38</v>
      </c>
      <c r="I393" s="173">
        <v>2524430</v>
      </c>
      <c r="J393" s="388">
        <v>5471.4768737266504</v>
      </c>
    </row>
    <row r="394" spans="1:10" ht="13.5" customHeight="1">
      <c r="A394" s="45"/>
      <c r="B394" s="173">
        <v>392</v>
      </c>
      <c r="C394" s="26" t="s">
        <v>1807</v>
      </c>
      <c r="D394" s="116">
        <v>43390</v>
      </c>
      <c r="E394" s="26" t="s">
        <v>1013</v>
      </c>
      <c r="F394" s="26" t="s">
        <v>1226</v>
      </c>
      <c r="G394" s="26" t="s">
        <v>1808</v>
      </c>
      <c r="H394" s="32">
        <v>446.73</v>
      </c>
      <c r="I394" s="173">
        <v>2721531</v>
      </c>
      <c r="J394" s="388">
        <v>6092.1160432475999</v>
      </c>
    </row>
    <row r="395" spans="1:10" ht="13.5" customHeight="1">
      <c r="A395" s="45"/>
      <c r="B395" s="173">
        <v>393</v>
      </c>
      <c r="C395" s="26" t="s">
        <v>1809</v>
      </c>
      <c r="D395" s="116">
        <v>43390</v>
      </c>
      <c r="E395" s="26" t="s">
        <v>1130</v>
      </c>
      <c r="F395" s="26" t="s">
        <v>1755</v>
      </c>
      <c r="G395" s="26" t="s">
        <v>1810</v>
      </c>
      <c r="H395" s="32">
        <v>446.73</v>
      </c>
      <c r="I395" s="173">
        <v>2721531</v>
      </c>
      <c r="J395" s="388">
        <v>6092.1160432475999</v>
      </c>
    </row>
    <row r="396" spans="1:10" ht="13.5" customHeight="1">
      <c r="A396" s="45"/>
      <c r="B396" s="173">
        <v>394</v>
      </c>
      <c r="C396" s="26" t="s">
        <v>1811</v>
      </c>
      <c r="D396" s="116">
        <v>43399</v>
      </c>
      <c r="E396" s="26" t="s">
        <v>1130</v>
      </c>
      <c r="F396" s="26" t="s">
        <v>970</v>
      </c>
      <c r="G396" s="26" t="s">
        <v>1812</v>
      </c>
      <c r="H396" s="32">
        <v>297.82</v>
      </c>
      <c r="I396" s="173">
        <v>2397437</v>
      </c>
      <c r="J396" s="388">
        <v>8049.9529917399796</v>
      </c>
    </row>
    <row r="397" spans="1:10" ht="13.5" customHeight="1">
      <c r="A397" s="45"/>
      <c r="B397" s="173">
        <v>395</v>
      </c>
      <c r="C397" s="26" t="s">
        <v>1813</v>
      </c>
      <c r="D397" s="116">
        <v>43420</v>
      </c>
      <c r="E397" s="26" t="s">
        <v>1013</v>
      </c>
      <c r="F397" s="26" t="s">
        <v>1086</v>
      </c>
      <c r="G397" s="26" t="s">
        <v>1814</v>
      </c>
      <c r="H397" s="32">
        <v>446.73</v>
      </c>
      <c r="I397" s="173">
        <v>3525996</v>
      </c>
      <c r="J397" s="388">
        <v>7892.9017527365504</v>
      </c>
    </row>
    <row r="398" spans="1:10" ht="13.5" customHeight="1">
      <c r="A398" s="45"/>
      <c r="B398" s="173">
        <v>396</v>
      </c>
      <c r="C398" s="26" t="s">
        <v>1815</v>
      </c>
      <c r="D398" s="116">
        <v>43437</v>
      </c>
      <c r="E398" s="26" t="s">
        <v>1127</v>
      </c>
      <c r="F398" s="26" t="s">
        <v>927</v>
      </c>
      <c r="G398" s="26" t="s">
        <v>1816</v>
      </c>
      <c r="H398" s="32">
        <v>297.82</v>
      </c>
      <c r="I398" s="173">
        <v>2561686</v>
      </c>
      <c r="J398" s="388">
        <v>8601.4572560607103</v>
      </c>
    </row>
    <row r="399" spans="1:10" ht="13.5" customHeight="1">
      <c r="A399" s="45"/>
      <c r="B399" s="173">
        <v>397</v>
      </c>
      <c r="C399" s="26" t="s">
        <v>1817</v>
      </c>
      <c r="D399" s="116">
        <v>43456</v>
      </c>
      <c r="E399" s="26" t="s">
        <v>1076</v>
      </c>
      <c r="F399" s="26" t="s">
        <v>975</v>
      </c>
      <c r="G399" s="26" t="s">
        <v>1818</v>
      </c>
      <c r="H399" s="32">
        <v>446.73</v>
      </c>
      <c r="I399" s="173">
        <v>2258391</v>
      </c>
      <c r="J399" s="388">
        <v>5055.3824457726096</v>
      </c>
    </row>
    <row r="400" spans="1:10" ht="13.5" customHeight="1">
      <c r="A400" s="45"/>
      <c r="B400" s="173">
        <v>398</v>
      </c>
      <c r="C400" s="26" t="s">
        <v>1819</v>
      </c>
      <c r="D400" s="116">
        <v>43456</v>
      </c>
      <c r="E400" s="26" t="s">
        <v>895</v>
      </c>
      <c r="F400" s="26" t="s">
        <v>1106</v>
      </c>
      <c r="G400" s="26" t="s">
        <v>1820</v>
      </c>
      <c r="H400" s="32">
        <v>458.48</v>
      </c>
      <c r="I400" s="173">
        <v>3483117</v>
      </c>
      <c r="J400" s="388">
        <v>7597.0969289827299</v>
      </c>
    </row>
    <row r="401" spans="1:10" ht="13.5" customHeight="1">
      <c r="A401" s="45"/>
      <c r="B401" s="173">
        <v>399</v>
      </c>
      <c r="C401" s="26" t="s">
        <v>1819</v>
      </c>
      <c r="D401" s="116">
        <v>43456</v>
      </c>
      <c r="E401" s="26" t="s">
        <v>895</v>
      </c>
      <c r="F401" s="26" t="s">
        <v>964</v>
      </c>
      <c r="G401" s="26" t="s">
        <v>1821</v>
      </c>
      <c r="H401" s="32">
        <v>446.73</v>
      </c>
      <c r="I401" s="173">
        <v>3393851</v>
      </c>
      <c r="J401" s="388">
        <v>7597.0966803214496</v>
      </c>
    </row>
    <row r="402" spans="1:10" ht="13.5" customHeight="1">
      <c r="A402" s="45"/>
      <c r="B402" s="173">
        <v>400</v>
      </c>
      <c r="C402" s="26" t="s">
        <v>1822</v>
      </c>
      <c r="D402" s="116">
        <v>43539</v>
      </c>
      <c r="E402" s="26" t="s">
        <v>1127</v>
      </c>
      <c r="F402" s="26" t="s">
        <v>1036</v>
      </c>
      <c r="G402" s="26" t="s">
        <v>1823</v>
      </c>
      <c r="H402" s="32">
        <v>297.82</v>
      </c>
      <c r="I402" s="173">
        <v>2681019</v>
      </c>
      <c r="J402" s="388">
        <v>9002.1455912967594</v>
      </c>
    </row>
    <row r="403" spans="1:10" ht="13.5" customHeight="1">
      <c r="A403" s="45"/>
      <c r="B403" s="173">
        <v>401</v>
      </c>
      <c r="C403" s="26" t="s">
        <v>1824</v>
      </c>
      <c r="D403" s="116">
        <v>43549</v>
      </c>
      <c r="E403" s="26" t="s">
        <v>1013</v>
      </c>
      <c r="F403" s="26" t="s">
        <v>1825</v>
      </c>
      <c r="G403" s="26" t="s">
        <v>1826</v>
      </c>
      <c r="H403" s="32">
        <v>446.73</v>
      </c>
      <c r="I403" s="173">
        <v>2557356</v>
      </c>
      <c r="J403" s="388">
        <v>5724.6121818548099</v>
      </c>
    </row>
    <row r="404" spans="1:10" ht="13.5" customHeight="1">
      <c r="A404" s="45"/>
      <c r="B404" s="173">
        <v>402</v>
      </c>
      <c r="C404" s="26" t="s">
        <v>1827</v>
      </c>
      <c r="D404" s="116">
        <v>43558</v>
      </c>
      <c r="E404" s="26" t="s">
        <v>1173</v>
      </c>
      <c r="F404" s="26" t="s">
        <v>930</v>
      </c>
      <c r="G404" s="26" t="s">
        <v>1828</v>
      </c>
      <c r="H404" s="32">
        <v>446.73</v>
      </c>
      <c r="I404" s="173">
        <v>2866845</v>
      </c>
      <c r="J404" s="388">
        <v>6417.3997716741696</v>
      </c>
    </row>
    <row r="405" spans="1:10" ht="13.5" customHeight="1">
      <c r="A405" s="45"/>
      <c r="B405" s="173">
        <v>403</v>
      </c>
      <c r="C405" s="26" t="s">
        <v>1829</v>
      </c>
      <c r="D405" s="116">
        <v>43560</v>
      </c>
      <c r="E405" s="26" t="s">
        <v>1130</v>
      </c>
      <c r="F405" s="26" t="s">
        <v>1830</v>
      </c>
      <c r="G405" s="26" t="s">
        <v>1831</v>
      </c>
      <c r="H405" s="32">
        <v>461.38</v>
      </c>
      <c r="I405" s="173">
        <v>2524429</v>
      </c>
      <c r="J405" s="388">
        <v>5471.4747063158302</v>
      </c>
    </row>
    <row r="406" spans="1:10" ht="13.5" customHeight="1">
      <c r="A406" s="45"/>
      <c r="B406" s="173">
        <v>404</v>
      </c>
      <c r="C406" s="26" t="s">
        <v>1832</v>
      </c>
      <c r="D406" s="116">
        <v>43595</v>
      </c>
      <c r="E406" s="26" t="s">
        <v>1374</v>
      </c>
      <c r="F406" s="26" t="s">
        <v>1164</v>
      </c>
      <c r="G406" s="26" t="s">
        <v>1833</v>
      </c>
      <c r="H406" s="32">
        <v>919.12</v>
      </c>
      <c r="I406" s="173">
        <v>7045956</v>
      </c>
      <c r="J406" s="388">
        <v>7665.9805030899097</v>
      </c>
    </row>
    <row r="407" spans="1:10" ht="13.5" customHeight="1">
      <c r="A407" s="45"/>
      <c r="B407" s="173">
        <v>405</v>
      </c>
      <c r="C407" s="26" t="s">
        <v>1834</v>
      </c>
      <c r="D407" s="116">
        <v>43601</v>
      </c>
      <c r="E407" s="26" t="s">
        <v>1109</v>
      </c>
      <c r="F407" s="26" t="s">
        <v>1835</v>
      </c>
      <c r="G407" s="26" t="s">
        <v>1836</v>
      </c>
      <c r="H407" s="32">
        <v>950</v>
      </c>
      <c r="I407" s="173">
        <v>5486856</v>
      </c>
      <c r="J407" s="388">
        <v>5775.6378947368403</v>
      </c>
    </row>
    <row r="408" spans="1:10" ht="13.5" customHeight="1">
      <c r="A408" s="45"/>
      <c r="B408" s="173">
        <v>406</v>
      </c>
      <c r="C408" s="26" t="s">
        <v>1837</v>
      </c>
      <c r="D408" s="116">
        <v>43607</v>
      </c>
      <c r="E408" s="26" t="s">
        <v>1130</v>
      </c>
      <c r="F408" s="26" t="s">
        <v>1014</v>
      </c>
      <c r="G408" s="26" t="s">
        <v>1838</v>
      </c>
      <c r="H408" s="32">
        <v>446.73</v>
      </c>
      <c r="I408" s="173">
        <v>2667202</v>
      </c>
      <c r="J408" s="388">
        <v>5970.5011975913903</v>
      </c>
    </row>
    <row r="409" spans="1:10" ht="13.5" customHeight="1">
      <c r="A409" s="45"/>
      <c r="B409" s="173">
        <v>407</v>
      </c>
      <c r="C409" s="26" t="s">
        <v>1837</v>
      </c>
      <c r="D409" s="116">
        <v>43607</v>
      </c>
      <c r="E409" s="26" t="s">
        <v>1130</v>
      </c>
      <c r="F409" s="26" t="s">
        <v>997</v>
      </c>
      <c r="G409" s="26" t="s">
        <v>1839</v>
      </c>
      <c r="H409" s="32">
        <v>446.73</v>
      </c>
      <c r="I409" s="173">
        <v>2667202</v>
      </c>
      <c r="J409" s="388">
        <v>5970.5011975913903</v>
      </c>
    </row>
    <row r="410" spans="1:10" ht="13.5" customHeight="1">
      <c r="A410" s="45"/>
      <c r="B410" s="173">
        <v>408</v>
      </c>
      <c r="C410" s="26" t="s">
        <v>1840</v>
      </c>
      <c r="D410" s="116">
        <v>43624</v>
      </c>
      <c r="E410" s="26" t="s">
        <v>1127</v>
      </c>
      <c r="F410" s="26" t="s">
        <v>1485</v>
      </c>
      <c r="G410" s="26" t="s">
        <v>1841</v>
      </c>
      <c r="H410" s="32">
        <v>461.38</v>
      </c>
      <c r="I410" s="173">
        <v>2986483</v>
      </c>
      <c r="J410" s="388">
        <v>6472.9355412024797</v>
      </c>
    </row>
    <row r="411" spans="1:10" ht="13.5" customHeight="1">
      <c r="A411" s="45"/>
      <c r="B411" s="173">
        <v>409</v>
      </c>
      <c r="C411" s="26" t="s">
        <v>1842</v>
      </c>
      <c r="D411" s="116">
        <v>43629</v>
      </c>
      <c r="E411" s="26" t="s">
        <v>1302</v>
      </c>
      <c r="F411" s="26" t="s">
        <v>1843</v>
      </c>
      <c r="G411" s="26" t="s">
        <v>1844</v>
      </c>
      <c r="H411" s="32">
        <v>446.73</v>
      </c>
      <c r="I411" s="173">
        <v>3293373</v>
      </c>
      <c r="J411" s="388">
        <v>7372.1778255321997</v>
      </c>
    </row>
    <row r="412" spans="1:10" ht="13.5" customHeight="1">
      <c r="A412" s="45"/>
      <c r="B412" s="173">
        <v>410</v>
      </c>
      <c r="C412" s="26" t="s">
        <v>1845</v>
      </c>
      <c r="D412" s="116">
        <v>43629</v>
      </c>
      <c r="E412" s="26" t="s">
        <v>895</v>
      </c>
      <c r="F412" s="26" t="s">
        <v>1071</v>
      </c>
      <c r="G412" s="26" t="s">
        <v>1846</v>
      </c>
      <c r="H412" s="32">
        <v>446.73</v>
      </c>
      <c r="I412" s="173">
        <v>2807356</v>
      </c>
      <c r="J412" s="388">
        <v>6284.2343249837704</v>
      </c>
    </row>
    <row r="413" spans="1:10" ht="13.5" customHeight="1">
      <c r="A413" s="45"/>
      <c r="B413" s="173">
        <v>411</v>
      </c>
      <c r="C413" s="26" t="s">
        <v>1847</v>
      </c>
      <c r="D413" s="116">
        <v>43658</v>
      </c>
      <c r="E413" s="26" t="s">
        <v>920</v>
      </c>
      <c r="F413" s="26" t="s">
        <v>1061</v>
      </c>
      <c r="G413" s="26" t="s">
        <v>1848</v>
      </c>
      <c r="H413" s="32">
        <v>712.49</v>
      </c>
      <c r="I413" s="173">
        <v>4749372</v>
      </c>
      <c r="J413" s="388">
        <v>6665.8788193518503</v>
      </c>
    </row>
    <row r="414" spans="1:10" ht="13.5" customHeight="1">
      <c r="A414" s="45"/>
      <c r="B414" s="173">
        <v>412</v>
      </c>
      <c r="C414" s="26" t="s">
        <v>1849</v>
      </c>
      <c r="D414" s="116">
        <v>43658</v>
      </c>
      <c r="E414" s="26" t="s">
        <v>1109</v>
      </c>
      <c r="F414" s="26" t="s">
        <v>1005</v>
      </c>
      <c r="G414" s="26" t="s">
        <v>1850</v>
      </c>
      <c r="H414" s="32">
        <v>712.49</v>
      </c>
      <c r="I414" s="173">
        <v>4749372</v>
      </c>
      <c r="J414" s="388">
        <v>6665.8788193518503</v>
      </c>
    </row>
    <row r="415" spans="1:10" ht="13.5" customHeight="1">
      <c r="A415" s="45"/>
      <c r="B415" s="173">
        <v>413</v>
      </c>
      <c r="C415" s="26" t="s">
        <v>1851</v>
      </c>
      <c r="D415" s="116">
        <v>43675</v>
      </c>
      <c r="E415" s="26" t="s">
        <v>1112</v>
      </c>
      <c r="F415" s="26" t="s">
        <v>1694</v>
      </c>
      <c r="G415" s="26" t="s">
        <v>1852</v>
      </c>
      <c r="H415" s="32">
        <v>919.12</v>
      </c>
      <c r="I415" s="173">
        <v>6321692</v>
      </c>
      <c r="J415" s="388">
        <v>6877.9832883627796</v>
      </c>
    </row>
    <row r="416" spans="1:10" ht="13.5" customHeight="1">
      <c r="A416" s="45"/>
      <c r="B416" s="173">
        <v>414</v>
      </c>
      <c r="C416" s="26" t="s">
        <v>1853</v>
      </c>
      <c r="D416" s="116">
        <v>43694</v>
      </c>
      <c r="E416" s="26" t="s">
        <v>1374</v>
      </c>
      <c r="F416" s="26" t="s">
        <v>1731</v>
      </c>
      <c r="G416" s="26" t="s">
        <v>1854</v>
      </c>
      <c r="H416" s="32">
        <v>919.12</v>
      </c>
      <c r="I416" s="173">
        <v>5226692</v>
      </c>
      <c r="J416" s="388">
        <v>5686.6263382365696</v>
      </c>
    </row>
    <row r="417" spans="1:10" ht="13.5" customHeight="1">
      <c r="A417" s="45"/>
      <c r="B417" s="173">
        <v>415</v>
      </c>
      <c r="C417" s="26" t="s">
        <v>1855</v>
      </c>
      <c r="D417" s="116">
        <v>43724</v>
      </c>
      <c r="E417" s="26" t="s">
        <v>1302</v>
      </c>
      <c r="F417" s="26" t="s">
        <v>1856</v>
      </c>
      <c r="G417" s="26" t="s">
        <v>1857</v>
      </c>
      <c r="H417" s="32">
        <v>297.82</v>
      </c>
      <c r="I417" s="173">
        <v>2050000</v>
      </c>
      <c r="J417" s="388">
        <v>6883.3523604862003</v>
      </c>
    </row>
    <row r="418" spans="1:10" ht="13.5" customHeight="1">
      <c r="A418" s="45"/>
      <c r="B418" s="173">
        <v>416</v>
      </c>
      <c r="C418" s="26" t="s">
        <v>1858</v>
      </c>
      <c r="D418" s="116">
        <v>43727</v>
      </c>
      <c r="E418" s="26" t="s">
        <v>1239</v>
      </c>
      <c r="F418" s="26" t="s">
        <v>1340</v>
      </c>
      <c r="G418" s="26" t="s">
        <v>1859</v>
      </c>
      <c r="H418" s="32">
        <v>446.73</v>
      </c>
      <c r="I418" s="173">
        <v>4593765</v>
      </c>
      <c r="J418" s="388">
        <v>10283.0904573232</v>
      </c>
    </row>
    <row r="419" spans="1:10" ht="13.5" customHeight="1">
      <c r="A419" s="45"/>
      <c r="B419" s="173">
        <v>417</v>
      </c>
      <c r="C419" s="26" t="s">
        <v>1860</v>
      </c>
      <c r="D419" s="116">
        <v>43754</v>
      </c>
      <c r="E419" s="26" t="s">
        <v>1173</v>
      </c>
      <c r="F419" s="26" t="s">
        <v>964</v>
      </c>
      <c r="G419" s="26" t="s">
        <v>1861</v>
      </c>
      <c r="H419" s="32">
        <v>446.73</v>
      </c>
      <c r="I419" s="173">
        <v>3621531</v>
      </c>
      <c r="J419" s="388">
        <v>8106.7557585118502</v>
      </c>
    </row>
    <row r="420" spans="1:10" ht="13.5" customHeight="1">
      <c r="A420" s="45"/>
      <c r="B420" s="173">
        <v>418</v>
      </c>
      <c r="C420" s="26" t="s">
        <v>1862</v>
      </c>
      <c r="D420" s="116">
        <v>43754</v>
      </c>
      <c r="E420" s="26" t="s">
        <v>895</v>
      </c>
      <c r="F420" s="26" t="s">
        <v>1755</v>
      </c>
      <c r="G420" s="26" t="s">
        <v>1863</v>
      </c>
      <c r="H420" s="32">
        <v>446.73</v>
      </c>
      <c r="I420" s="173">
        <v>3640404</v>
      </c>
      <c r="J420" s="388">
        <v>8149.0027533409402</v>
      </c>
    </row>
    <row r="421" spans="1:10" ht="13.5" customHeight="1">
      <c r="A421" s="45"/>
      <c r="B421" s="173">
        <v>419</v>
      </c>
      <c r="C421" s="26" t="s">
        <v>1864</v>
      </c>
      <c r="D421" s="116">
        <v>43797</v>
      </c>
      <c r="E421" s="26" t="s">
        <v>1127</v>
      </c>
      <c r="F421" s="26" t="s">
        <v>950</v>
      </c>
      <c r="G421" s="26" t="s">
        <v>1865</v>
      </c>
      <c r="H421" s="32">
        <v>297.82</v>
      </c>
      <c r="I421" s="173">
        <v>2471021</v>
      </c>
      <c r="J421" s="388">
        <v>8297.0284064199896</v>
      </c>
    </row>
    <row r="422" spans="1:10" ht="13.5" customHeight="1">
      <c r="A422" s="45"/>
      <c r="B422" s="173">
        <v>420</v>
      </c>
      <c r="C422" s="26" t="s">
        <v>1864</v>
      </c>
      <c r="D422" s="116">
        <v>43797</v>
      </c>
      <c r="E422" s="26" t="s">
        <v>1127</v>
      </c>
      <c r="F422" s="26" t="s">
        <v>1229</v>
      </c>
      <c r="G422" s="26" t="s">
        <v>1866</v>
      </c>
      <c r="H422" s="32">
        <v>297.82</v>
      </c>
      <c r="I422" s="173">
        <v>2471021</v>
      </c>
      <c r="J422" s="388">
        <v>8297.0284064199896</v>
      </c>
    </row>
    <row r="423" spans="1:10" ht="13.5" customHeight="1">
      <c r="A423" s="45"/>
      <c r="B423" s="173">
        <v>421</v>
      </c>
      <c r="C423" s="26" t="s">
        <v>1867</v>
      </c>
      <c r="D423" s="116">
        <v>43797</v>
      </c>
      <c r="E423" s="26" t="s">
        <v>1130</v>
      </c>
      <c r="F423" s="26" t="s">
        <v>1077</v>
      </c>
      <c r="G423" s="26" t="s">
        <v>1868</v>
      </c>
      <c r="H423" s="32">
        <v>446.73</v>
      </c>
      <c r="I423" s="173">
        <v>3201356</v>
      </c>
      <c r="J423" s="388">
        <v>7166.1988225550103</v>
      </c>
    </row>
    <row r="424" spans="1:10" ht="13.5" customHeight="1">
      <c r="A424" s="45"/>
      <c r="B424" s="173">
        <v>422</v>
      </c>
      <c r="C424" s="26" t="s">
        <v>1869</v>
      </c>
      <c r="D424" s="116">
        <v>43806</v>
      </c>
      <c r="E424" s="26" t="s">
        <v>1112</v>
      </c>
      <c r="F424" s="26" t="s">
        <v>1870</v>
      </c>
      <c r="G424" s="26" t="s">
        <v>1871</v>
      </c>
      <c r="H424" s="32">
        <v>919.12</v>
      </c>
      <c r="I424" s="173">
        <v>6517794</v>
      </c>
      <c r="J424" s="388">
        <v>7091.3417181652003</v>
      </c>
    </row>
    <row r="425" spans="1:10" ht="13.5" customHeight="1">
      <c r="A425" s="45"/>
      <c r="B425" s="173">
        <v>423</v>
      </c>
      <c r="C425" s="26" t="s">
        <v>1872</v>
      </c>
      <c r="D425" s="116">
        <v>43806</v>
      </c>
      <c r="E425" s="26" t="s">
        <v>1099</v>
      </c>
      <c r="F425" s="26" t="s">
        <v>1873</v>
      </c>
      <c r="G425" s="26" t="s">
        <v>1874</v>
      </c>
      <c r="H425" s="32">
        <v>919.12</v>
      </c>
      <c r="I425" s="173">
        <v>6421692</v>
      </c>
      <c r="J425" s="388">
        <v>6986.7830098354898</v>
      </c>
    </row>
    <row r="426" spans="1:10" ht="13.5" customHeight="1">
      <c r="A426" s="45"/>
      <c r="B426" s="173">
        <v>424</v>
      </c>
      <c r="C426" s="26" t="s">
        <v>1875</v>
      </c>
      <c r="D426" s="116">
        <v>43822</v>
      </c>
      <c r="E426" s="26" t="s">
        <v>1076</v>
      </c>
      <c r="F426" s="26" t="s">
        <v>970</v>
      </c>
      <c r="G426" s="26" t="s">
        <v>1876</v>
      </c>
      <c r="H426" s="32">
        <v>446.73</v>
      </c>
      <c r="I426" s="173">
        <v>3756963</v>
      </c>
      <c r="J426" s="388">
        <v>8409.9187428648202</v>
      </c>
    </row>
    <row r="427" spans="1:10" ht="13.5" customHeight="1">
      <c r="A427" s="45"/>
      <c r="B427" s="173">
        <v>425</v>
      </c>
      <c r="C427" s="26" t="s">
        <v>1877</v>
      </c>
      <c r="D427" s="116">
        <v>43833</v>
      </c>
      <c r="E427" s="26" t="s">
        <v>1109</v>
      </c>
      <c r="F427" s="26" t="s">
        <v>959</v>
      </c>
      <c r="G427" s="26" t="s">
        <v>1878</v>
      </c>
      <c r="H427" s="32">
        <v>950</v>
      </c>
      <c r="I427" s="173">
        <v>4848786</v>
      </c>
      <c r="J427" s="388">
        <v>5103.9852631578997</v>
      </c>
    </row>
    <row r="428" spans="1:10" ht="13.5" customHeight="1">
      <c r="A428" s="45"/>
      <c r="B428" s="173">
        <v>426</v>
      </c>
      <c r="C428" s="26" t="s">
        <v>1875</v>
      </c>
      <c r="D428" s="116">
        <v>43833</v>
      </c>
      <c r="E428" s="26" t="s">
        <v>910</v>
      </c>
      <c r="F428" s="26" t="s">
        <v>978</v>
      </c>
      <c r="G428" s="26" t="s">
        <v>1879</v>
      </c>
      <c r="H428" s="32">
        <v>446.73</v>
      </c>
      <c r="I428" s="173">
        <v>3665963</v>
      </c>
      <c r="J428" s="388">
        <v>8206.2162827658794</v>
      </c>
    </row>
    <row r="429" spans="1:10" ht="13.5" customHeight="1">
      <c r="A429" s="45"/>
      <c r="B429" s="173">
        <v>427</v>
      </c>
      <c r="C429" s="26" t="s">
        <v>1880</v>
      </c>
      <c r="D429" s="116">
        <v>43840</v>
      </c>
      <c r="E429" s="26" t="s">
        <v>895</v>
      </c>
      <c r="F429" s="26" t="s">
        <v>1061</v>
      </c>
      <c r="G429" s="26" t="s">
        <v>1881</v>
      </c>
      <c r="H429" s="32">
        <v>446.73</v>
      </c>
      <c r="I429" s="173">
        <v>2681356</v>
      </c>
      <c r="J429" s="388">
        <v>6002.1847648467801</v>
      </c>
    </row>
    <row r="430" spans="1:10" ht="13.5" customHeight="1">
      <c r="A430" s="45"/>
      <c r="B430" s="173">
        <v>428</v>
      </c>
      <c r="C430" s="26" t="s">
        <v>1882</v>
      </c>
      <c r="D430" s="116">
        <v>43846</v>
      </c>
      <c r="E430" s="26" t="s">
        <v>1112</v>
      </c>
      <c r="F430" s="26" t="s">
        <v>1883</v>
      </c>
      <c r="G430" s="26" t="s">
        <v>1884</v>
      </c>
      <c r="H430" s="32">
        <v>919.12</v>
      </c>
      <c r="I430" s="173">
        <v>5527326</v>
      </c>
      <c r="J430" s="388">
        <v>6013.7152928888499</v>
      </c>
    </row>
    <row r="431" spans="1:10" ht="13.5" customHeight="1">
      <c r="A431" s="45"/>
      <c r="B431" s="173">
        <v>429</v>
      </c>
      <c r="C431" s="26" t="s">
        <v>1882</v>
      </c>
      <c r="D431" s="116">
        <v>43846</v>
      </c>
      <c r="E431" s="26" t="s">
        <v>1112</v>
      </c>
      <c r="F431" s="26" t="s">
        <v>1421</v>
      </c>
      <c r="G431" s="26" t="s">
        <v>1885</v>
      </c>
      <c r="H431" s="32">
        <v>919.12</v>
      </c>
      <c r="I431" s="173">
        <v>5527326</v>
      </c>
      <c r="J431" s="388">
        <v>6013.7152928888499</v>
      </c>
    </row>
    <row r="432" spans="1:10" ht="13.5" customHeight="1">
      <c r="A432" s="45"/>
      <c r="B432" s="173">
        <v>430</v>
      </c>
      <c r="C432" s="26" t="s">
        <v>1886</v>
      </c>
      <c r="D432" s="116">
        <v>43846</v>
      </c>
      <c r="E432" s="26" t="s">
        <v>1148</v>
      </c>
      <c r="F432" s="26" t="s">
        <v>997</v>
      </c>
      <c r="G432" s="26" t="s">
        <v>1887</v>
      </c>
      <c r="H432" s="32">
        <v>297.82</v>
      </c>
      <c r="I432" s="173">
        <v>2514891</v>
      </c>
      <c r="J432" s="388">
        <v>8444.33214693439</v>
      </c>
    </row>
    <row r="433" spans="1:10" ht="13.5" customHeight="1">
      <c r="A433" s="45"/>
      <c r="B433" s="173">
        <v>431</v>
      </c>
      <c r="C433" s="26" t="s">
        <v>1888</v>
      </c>
      <c r="D433" s="116">
        <v>43847</v>
      </c>
      <c r="E433" s="26" t="s">
        <v>1148</v>
      </c>
      <c r="F433" s="26" t="s">
        <v>896</v>
      </c>
      <c r="G433" s="26" t="s">
        <v>1889</v>
      </c>
      <c r="H433" s="32">
        <v>297.82</v>
      </c>
      <c r="I433" s="173">
        <v>2526853</v>
      </c>
      <c r="J433" s="388">
        <v>8484.4973473910395</v>
      </c>
    </row>
    <row r="434" spans="1:10" ht="13.5" customHeight="1">
      <c r="A434" s="45"/>
      <c r="B434" s="173">
        <v>432</v>
      </c>
      <c r="C434" s="26" t="s">
        <v>1890</v>
      </c>
      <c r="D434" s="116">
        <v>43850</v>
      </c>
      <c r="E434" s="26" t="s">
        <v>895</v>
      </c>
      <c r="F434" s="26" t="s">
        <v>1310</v>
      </c>
      <c r="G434" s="26" t="s">
        <v>1891</v>
      </c>
      <c r="H434" s="32">
        <v>446.73</v>
      </c>
      <c r="I434" s="173">
        <v>2822337</v>
      </c>
      <c r="J434" s="388">
        <v>6317.7691222886297</v>
      </c>
    </row>
    <row r="435" spans="1:10" ht="13.5" customHeight="1">
      <c r="A435" s="45"/>
      <c r="B435" s="173">
        <v>433</v>
      </c>
      <c r="C435" s="26" t="s">
        <v>1892</v>
      </c>
      <c r="D435" s="116">
        <v>43852</v>
      </c>
      <c r="E435" s="26" t="s">
        <v>1130</v>
      </c>
      <c r="F435" s="26" t="s">
        <v>978</v>
      </c>
      <c r="G435" s="26" t="s">
        <v>1893</v>
      </c>
      <c r="H435" s="32">
        <v>297.82</v>
      </c>
      <c r="I435" s="173">
        <v>1850000</v>
      </c>
      <c r="J435" s="388">
        <v>6211.8057887314499</v>
      </c>
    </row>
    <row r="436" spans="1:10" ht="13.5" customHeight="1">
      <c r="A436" s="45"/>
      <c r="B436" s="173">
        <v>434</v>
      </c>
      <c r="C436" s="26" t="s">
        <v>1894</v>
      </c>
      <c r="D436" s="116">
        <v>43869</v>
      </c>
      <c r="E436" s="26" t="s">
        <v>1013</v>
      </c>
      <c r="F436" s="26" t="s">
        <v>1755</v>
      </c>
      <c r="G436" s="26" t="s">
        <v>1895</v>
      </c>
      <c r="H436" s="32">
        <v>446.73</v>
      </c>
      <c r="I436" s="173">
        <v>3621531</v>
      </c>
      <c r="J436" s="388">
        <v>8106.7557585118502</v>
      </c>
    </row>
    <row r="437" spans="1:10" ht="13.5" customHeight="1">
      <c r="A437" s="45"/>
      <c r="B437" s="173">
        <v>435</v>
      </c>
      <c r="C437" s="26" t="s">
        <v>1896</v>
      </c>
      <c r="D437" s="116">
        <v>43875</v>
      </c>
      <c r="E437" s="26" t="s">
        <v>1109</v>
      </c>
      <c r="F437" s="26" t="s">
        <v>1008</v>
      </c>
      <c r="G437" s="26" t="s">
        <v>1897</v>
      </c>
      <c r="H437" s="32">
        <v>950</v>
      </c>
      <c r="I437" s="173">
        <v>7117852</v>
      </c>
      <c r="J437" s="388">
        <v>7492.4757894736804</v>
      </c>
    </row>
    <row r="438" spans="1:10" ht="13.5" customHeight="1">
      <c r="A438" s="45"/>
      <c r="B438" s="173">
        <v>436</v>
      </c>
      <c r="C438" s="26" t="s">
        <v>1898</v>
      </c>
      <c r="D438" s="116">
        <v>43878</v>
      </c>
      <c r="E438" s="26" t="s">
        <v>1148</v>
      </c>
      <c r="F438" s="26" t="s">
        <v>959</v>
      </c>
      <c r="G438" s="26" t="s">
        <v>1899</v>
      </c>
      <c r="H438" s="32">
        <v>297.82</v>
      </c>
      <c r="I438" s="173">
        <v>2104237</v>
      </c>
      <c r="J438" s="388">
        <v>7065.4657175475104</v>
      </c>
    </row>
    <row r="439" spans="1:10" ht="13.5" customHeight="1">
      <c r="A439" s="45"/>
      <c r="B439" s="173">
        <v>437</v>
      </c>
      <c r="C439" s="26" t="s">
        <v>1900</v>
      </c>
      <c r="D439" s="116">
        <v>43972</v>
      </c>
      <c r="E439" s="26" t="s">
        <v>1112</v>
      </c>
      <c r="F439" s="26" t="s">
        <v>1901</v>
      </c>
      <c r="G439" s="26" t="s">
        <v>1902</v>
      </c>
      <c r="H439" s="32">
        <v>919.12</v>
      </c>
      <c r="I439" s="173">
        <v>5045956</v>
      </c>
      <c r="J439" s="388">
        <v>5489.9860736356504</v>
      </c>
    </row>
    <row r="440" spans="1:10" ht="13.5" customHeight="1">
      <c r="A440" s="45"/>
      <c r="B440" s="173">
        <v>438</v>
      </c>
      <c r="C440" s="26" t="s">
        <v>1903</v>
      </c>
      <c r="D440" s="116">
        <v>43987</v>
      </c>
      <c r="E440" s="26" t="s">
        <v>1374</v>
      </c>
      <c r="F440" s="26" t="s">
        <v>1113</v>
      </c>
      <c r="G440" s="26" t="s">
        <v>1904</v>
      </c>
      <c r="H440" s="32">
        <v>919.12</v>
      </c>
      <c r="I440" s="173">
        <v>8600000</v>
      </c>
      <c r="J440" s="388">
        <v>9356.77604665332</v>
      </c>
    </row>
    <row r="441" spans="1:10" ht="13.5" customHeight="1">
      <c r="A441" s="45"/>
      <c r="B441" s="173">
        <v>439</v>
      </c>
      <c r="C441" s="26" t="s">
        <v>1905</v>
      </c>
      <c r="D441" s="116">
        <v>43988</v>
      </c>
      <c r="E441" s="26" t="s">
        <v>1109</v>
      </c>
      <c r="F441" s="26" t="s">
        <v>914</v>
      </c>
      <c r="G441" s="26" t="s">
        <v>1906</v>
      </c>
      <c r="H441" s="32">
        <v>950</v>
      </c>
      <c r="I441" s="173">
        <v>6000000</v>
      </c>
      <c r="J441" s="388">
        <v>6315.78947368421</v>
      </c>
    </row>
    <row r="442" spans="1:10" ht="13.5" customHeight="1">
      <c r="A442" s="45"/>
      <c r="B442" s="173">
        <v>440</v>
      </c>
      <c r="C442" s="26" t="s">
        <v>1907</v>
      </c>
      <c r="D442" s="116">
        <v>43992</v>
      </c>
      <c r="E442" s="26" t="s">
        <v>1109</v>
      </c>
      <c r="F442" s="26" t="s">
        <v>1157</v>
      </c>
      <c r="G442" s="26" t="s">
        <v>1908</v>
      </c>
      <c r="H442" s="32">
        <v>975</v>
      </c>
      <c r="I442" s="173">
        <v>5100750</v>
      </c>
      <c r="J442" s="388">
        <v>5231.5384615384601</v>
      </c>
    </row>
    <row r="443" spans="1:10" ht="13.5" customHeight="1">
      <c r="A443" s="45"/>
      <c r="B443" s="173">
        <v>441</v>
      </c>
      <c r="C443" s="26" t="s">
        <v>1909</v>
      </c>
      <c r="D443" s="116">
        <v>44000</v>
      </c>
      <c r="E443" s="26" t="s">
        <v>1239</v>
      </c>
      <c r="F443" s="26" t="s">
        <v>911</v>
      </c>
      <c r="G443" s="26" t="s">
        <v>1910</v>
      </c>
      <c r="H443" s="32">
        <v>446.73</v>
      </c>
      <c r="I443" s="173">
        <v>4179025</v>
      </c>
      <c r="J443" s="388">
        <v>9354.6997067579996</v>
      </c>
    </row>
    <row r="444" spans="1:10" ht="13.5" customHeight="1">
      <c r="A444" s="45"/>
      <c r="B444" s="173">
        <v>442</v>
      </c>
      <c r="C444" s="26" t="s">
        <v>1911</v>
      </c>
      <c r="D444" s="116">
        <v>44027</v>
      </c>
      <c r="E444" s="26" t="s">
        <v>1112</v>
      </c>
      <c r="F444" s="26" t="s">
        <v>1873</v>
      </c>
      <c r="G444" s="26" t="s">
        <v>1912</v>
      </c>
      <c r="H444" s="32">
        <v>919.12</v>
      </c>
      <c r="I444" s="173">
        <v>6910000</v>
      </c>
      <c r="J444" s="388">
        <v>7518.0607537644701</v>
      </c>
    </row>
    <row r="445" spans="1:10" ht="13.5" customHeight="1">
      <c r="A445" s="45"/>
      <c r="B445" s="173">
        <v>443</v>
      </c>
      <c r="C445" s="26" t="s">
        <v>1913</v>
      </c>
      <c r="D445" s="116">
        <v>44029</v>
      </c>
      <c r="E445" s="26" t="s">
        <v>1091</v>
      </c>
      <c r="F445" s="26" t="s">
        <v>1196</v>
      </c>
      <c r="G445" s="26" t="s">
        <v>1914</v>
      </c>
      <c r="H445" s="32">
        <v>446.73</v>
      </c>
      <c r="I445" s="173">
        <v>3372337</v>
      </c>
      <c r="J445" s="388">
        <v>7548.9378371723396</v>
      </c>
    </row>
    <row r="446" spans="1:10" ht="13.5" customHeight="1">
      <c r="A446" s="45"/>
      <c r="B446" s="173">
        <v>444</v>
      </c>
      <c r="C446" s="26" t="s">
        <v>1915</v>
      </c>
      <c r="D446" s="116">
        <v>44039</v>
      </c>
      <c r="E446" s="26" t="s">
        <v>1374</v>
      </c>
      <c r="F446" s="26" t="s">
        <v>1916</v>
      </c>
      <c r="G446" s="26" t="s">
        <v>1917</v>
      </c>
      <c r="H446" s="32">
        <v>1065.49</v>
      </c>
      <c r="I446" s="173">
        <v>6800000</v>
      </c>
      <c r="J446" s="388">
        <v>6382.0401880824802</v>
      </c>
    </row>
    <row r="447" spans="1:10" ht="13.5" customHeight="1">
      <c r="A447" s="45"/>
      <c r="B447" s="173">
        <v>445</v>
      </c>
      <c r="C447" s="26" t="s">
        <v>1918</v>
      </c>
      <c r="D447" s="116">
        <v>44047</v>
      </c>
      <c r="E447" s="26" t="s">
        <v>1239</v>
      </c>
      <c r="F447" s="26" t="s">
        <v>1204</v>
      </c>
      <c r="G447" s="26" t="s">
        <v>1919</v>
      </c>
      <c r="H447" s="32">
        <v>446.73</v>
      </c>
      <c r="I447" s="173">
        <v>4180000</v>
      </c>
      <c r="J447" s="388">
        <v>9356.8822331161991</v>
      </c>
    </row>
    <row r="448" spans="1:10" ht="13.5" customHeight="1">
      <c r="A448" s="45"/>
      <c r="B448" s="173">
        <v>446</v>
      </c>
      <c r="C448" s="26" t="s">
        <v>1920</v>
      </c>
      <c r="D448" s="116">
        <v>44097</v>
      </c>
      <c r="E448" s="26" t="s">
        <v>1374</v>
      </c>
      <c r="F448" s="26" t="s">
        <v>1642</v>
      </c>
      <c r="G448" s="26" t="s">
        <v>1921</v>
      </c>
      <c r="H448" s="32">
        <v>919.12</v>
      </c>
      <c r="I448" s="173">
        <v>7596800</v>
      </c>
      <c r="J448" s="388">
        <v>8265.2972408390597</v>
      </c>
    </row>
    <row r="449" spans="1:10" ht="13.5" customHeight="1">
      <c r="A449" s="45"/>
      <c r="B449" s="173">
        <v>447</v>
      </c>
      <c r="C449" s="26" t="s">
        <v>1922</v>
      </c>
      <c r="D449" s="116">
        <v>44139</v>
      </c>
      <c r="E449" s="26" t="s">
        <v>1302</v>
      </c>
      <c r="F449" s="26" t="s">
        <v>1923</v>
      </c>
      <c r="G449" s="26" t="s">
        <v>1924</v>
      </c>
      <c r="H449" s="32">
        <v>446.73</v>
      </c>
      <c r="I449" s="173">
        <v>3125878</v>
      </c>
      <c r="J449" s="388">
        <v>6997.2421820786603</v>
      </c>
    </row>
    <row r="450" spans="1:10" ht="13.5" customHeight="1">
      <c r="A450" s="45"/>
      <c r="B450" s="173">
        <v>448</v>
      </c>
      <c r="C450" s="26" t="s">
        <v>1925</v>
      </c>
      <c r="D450" s="116">
        <v>44152</v>
      </c>
      <c r="E450" s="26" t="s">
        <v>1239</v>
      </c>
      <c r="F450" s="26" t="s">
        <v>1116</v>
      </c>
      <c r="G450" s="26" t="s">
        <v>1926</v>
      </c>
      <c r="H450" s="32">
        <v>446.73</v>
      </c>
      <c r="I450" s="173">
        <v>3322337</v>
      </c>
      <c r="J450" s="388">
        <v>7437.0134085465497</v>
      </c>
    </row>
    <row r="451" spans="1:10" ht="13.5" customHeight="1">
      <c r="A451" s="45"/>
      <c r="B451" s="173">
        <v>449</v>
      </c>
      <c r="C451" s="26" t="s">
        <v>1927</v>
      </c>
      <c r="D451" s="116">
        <v>44252</v>
      </c>
      <c r="E451" s="26" t="s">
        <v>1109</v>
      </c>
      <c r="F451" s="26" t="s">
        <v>901</v>
      </c>
      <c r="G451" s="26" t="s">
        <v>1928</v>
      </c>
      <c r="H451" s="32">
        <v>950</v>
      </c>
      <c r="I451" s="173">
        <v>4990000</v>
      </c>
      <c r="J451" s="388">
        <v>5252.6315789473701</v>
      </c>
    </row>
    <row r="452" spans="1:10" ht="13.5" customHeight="1">
      <c r="A452" s="45"/>
      <c r="B452" s="173">
        <v>450</v>
      </c>
      <c r="C452" s="26" t="s">
        <v>1929</v>
      </c>
      <c r="D452" s="116">
        <v>44252</v>
      </c>
      <c r="E452" s="26" t="s">
        <v>1127</v>
      </c>
      <c r="F452" s="26" t="s">
        <v>1053</v>
      </c>
      <c r="G452" s="26" t="s">
        <v>1930</v>
      </c>
      <c r="H452" s="32">
        <v>297.82</v>
      </c>
      <c r="I452" s="173">
        <v>1700000</v>
      </c>
      <c r="J452" s="388">
        <v>5708.1458599153902</v>
      </c>
    </row>
    <row r="453" spans="1:10" ht="13.5" customHeight="1">
      <c r="A453" s="45"/>
      <c r="B453" s="173">
        <v>451</v>
      </c>
      <c r="C453" s="26" t="s">
        <v>1931</v>
      </c>
      <c r="D453" s="116">
        <v>44270</v>
      </c>
      <c r="E453" s="26" t="s">
        <v>1112</v>
      </c>
      <c r="F453" s="26" t="s">
        <v>1740</v>
      </c>
      <c r="G453" s="26" t="s">
        <v>1932</v>
      </c>
      <c r="H453" s="32">
        <v>919.12</v>
      </c>
      <c r="I453" s="173">
        <v>17500000</v>
      </c>
      <c r="J453" s="388">
        <v>19039.951257724799</v>
      </c>
    </row>
    <row r="454" spans="1:10" ht="13.5" customHeight="1">
      <c r="A454" s="45"/>
      <c r="B454" s="173">
        <v>452</v>
      </c>
      <c r="C454" s="26" t="s">
        <v>1933</v>
      </c>
      <c r="D454" s="116">
        <v>44274</v>
      </c>
      <c r="E454" s="26" t="s">
        <v>1109</v>
      </c>
      <c r="F454" s="26" t="s">
        <v>984</v>
      </c>
      <c r="G454" s="26" t="s">
        <v>1934</v>
      </c>
      <c r="H454" s="32">
        <v>712.49</v>
      </c>
      <c r="I454" s="173">
        <v>4749372</v>
      </c>
      <c r="J454" s="388">
        <v>6665.8788193518503</v>
      </c>
    </row>
    <row r="455" spans="1:10" ht="13.5" customHeight="1">
      <c r="A455" s="45"/>
      <c r="B455" s="173">
        <v>453</v>
      </c>
      <c r="C455" s="26" t="s">
        <v>1935</v>
      </c>
      <c r="D455" s="116">
        <v>44299</v>
      </c>
      <c r="E455" s="26" t="s">
        <v>1112</v>
      </c>
      <c r="F455" s="26" t="s">
        <v>1936</v>
      </c>
      <c r="G455" s="26" t="s">
        <v>1937</v>
      </c>
      <c r="H455" s="32">
        <v>467</v>
      </c>
      <c r="I455" s="173">
        <v>4000000</v>
      </c>
      <c r="J455" s="388">
        <v>8565.3104925053503</v>
      </c>
    </row>
    <row r="456" spans="1:10" ht="13.5" customHeight="1">
      <c r="A456" s="45"/>
      <c r="B456" s="173">
        <v>454</v>
      </c>
      <c r="C456" s="26" t="s">
        <v>1938</v>
      </c>
      <c r="D456" s="116">
        <v>44436</v>
      </c>
      <c r="E456" s="26" t="s">
        <v>1173</v>
      </c>
      <c r="F456" s="26" t="s">
        <v>1106</v>
      </c>
      <c r="G456" s="26" t="s">
        <v>1939</v>
      </c>
      <c r="H456" s="32">
        <v>458.48</v>
      </c>
      <c r="I456" s="173">
        <v>2822974</v>
      </c>
      <c r="J456" s="388">
        <v>6157.2456813819599</v>
      </c>
    </row>
    <row r="457" spans="1:10" ht="13.5" customHeight="1">
      <c r="A457" s="45"/>
      <c r="B457" s="173">
        <v>455</v>
      </c>
      <c r="C457" s="26" t="s">
        <v>1940</v>
      </c>
      <c r="D457" s="116">
        <v>44469</v>
      </c>
      <c r="E457" s="26" t="s">
        <v>1239</v>
      </c>
      <c r="F457" s="26" t="s">
        <v>1229</v>
      </c>
      <c r="G457" s="26" t="s">
        <v>1941</v>
      </c>
      <c r="H457" s="32">
        <v>446.73</v>
      </c>
      <c r="I457" s="173">
        <v>3757337</v>
      </c>
      <c r="J457" s="388">
        <v>8410.7559375909404</v>
      </c>
    </row>
    <row r="458" spans="1:10" ht="13.5" customHeight="1">
      <c r="A458" s="45"/>
      <c r="B458" s="173">
        <v>456</v>
      </c>
      <c r="C458" s="26" t="s">
        <v>1942</v>
      </c>
      <c r="D458" s="389">
        <v>44496</v>
      </c>
      <c r="E458" s="26" t="s">
        <v>1112</v>
      </c>
      <c r="F458" s="26" t="s">
        <v>1100</v>
      </c>
      <c r="G458" s="26" t="s">
        <v>1943</v>
      </c>
      <c r="H458" s="32">
        <v>919.12</v>
      </c>
      <c r="I458" s="173">
        <v>5785860</v>
      </c>
      <c r="J458" s="388">
        <v>6294.99956480111</v>
      </c>
    </row>
    <row r="459" spans="1:10" ht="13.5" customHeight="1">
      <c r="A459" s="45"/>
      <c r="B459" s="390"/>
      <c r="C459" s="132" t="s">
        <v>1944</v>
      </c>
      <c r="D459" s="390"/>
      <c r="E459" s="390"/>
      <c r="F459" s="390"/>
      <c r="G459" s="390"/>
      <c r="H459" s="391">
        <v>222760.920000001</v>
      </c>
      <c r="I459" s="391">
        <v>1492304708</v>
      </c>
      <c r="J459" s="134"/>
    </row>
    <row r="460" spans="1:10" ht="13.5" customHeight="1">
      <c r="A460" s="19"/>
      <c r="B460" s="100"/>
      <c r="C460" s="100"/>
      <c r="D460" s="100"/>
      <c r="E460" s="109"/>
      <c r="F460" s="109"/>
      <c r="G460" s="109"/>
      <c r="H460" s="109"/>
      <c r="I460" s="100"/>
      <c r="J460" s="100"/>
    </row>
    <row r="461" spans="1:10" ht="30" customHeight="1">
      <c r="A461" s="19"/>
      <c r="B461" s="19"/>
      <c r="C461" s="19"/>
      <c r="D461" s="45"/>
      <c r="E461" s="132" t="s">
        <v>1945</v>
      </c>
      <c r="F461" s="132" t="s">
        <v>243</v>
      </c>
      <c r="G461" s="132" t="s">
        <v>1946</v>
      </c>
      <c r="H461" s="392" t="s">
        <v>1947</v>
      </c>
      <c r="I461" s="87"/>
      <c r="J461" s="19"/>
    </row>
    <row r="462" spans="1:10" ht="13.5" customHeight="1">
      <c r="A462" s="19"/>
      <c r="B462" s="19"/>
      <c r="C462" s="19"/>
      <c r="D462" s="45"/>
      <c r="E462" s="133">
        <v>294</v>
      </c>
      <c r="F462" s="133">
        <v>142963</v>
      </c>
      <c r="G462" s="133">
        <v>104.51</v>
      </c>
      <c r="H462" s="89">
        <f>G462*10000000/F462</f>
        <v>7310.2830802375438</v>
      </c>
      <c r="I462" s="87"/>
      <c r="J462" s="19"/>
    </row>
    <row r="463" spans="1:10" ht="13.5" customHeight="1">
      <c r="A463" s="19"/>
      <c r="B463" s="19"/>
      <c r="C463" s="19"/>
      <c r="D463" s="45"/>
      <c r="E463" s="133">
        <v>162</v>
      </c>
      <c r="F463" s="133">
        <v>79798</v>
      </c>
      <c r="G463" s="133">
        <v>44.72</v>
      </c>
      <c r="H463" s="89">
        <f>G463*10000000/F463</f>
        <v>5604.1504799619042</v>
      </c>
      <c r="I463" s="87"/>
      <c r="J463" s="19"/>
    </row>
    <row r="464" spans="1:10" ht="13.5" customHeight="1">
      <c r="A464" s="19"/>
      <c r="B464" s="19"/>
      <c r="C464" s="19"/>
      <c r="D464" s="45"/>
      <c r="E464" s="137">
        <f>SUM(E462:E463)</f>
        <v>456</v>
      </c>
      <c r="F464" s="137">
        <f>SUM(F462:F463)</f>
        <v>222761</v>
      </c>
      <c r="G464" s="137">
        <f>SUM(G462:G463)</f>
        <v>149.23000000000002</v>
      </c>
      <c r="H464" s="83">
        <f>G464*10000000/F464</f>
        <v>6699.1080126233956</v>
      </c>
      <c r="I464" s="87"/>
      <c r="J464" s="19"/>
    </row>
  </sheetData>
  <pageMargins left="0.7" right="0.7" top="0.75" bottom="0.75" header="0.3" footer="0.3"/>
  <pageSetup orientation="portrait"/>
  <headerFooter>
    <oddFooter>&amp;C&amp;"Helvetica Neue,Regular"&amp;12&amp;K000000&amp;P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896"/>
  <sheetViews>
    <sheetView showGridLines="0" workbookViewId="0"/>
  </sheetViews>
  <sheetFormatPr baseColWidth="10" defaultColWidth="9.1640625" defaultRowHeight="14.5" customHeight="1"/>
  <cols>
    <col min="1" max="3" width="9.1640625" style="4" customWidth="1"/>
    <col min="4" max="4" width="18.5" style="4" customWidth="1"/>
    <col min="5" max="5" width="26.1640625" style="4" customWidth="1"/>
    <col min="6" max="6" width="9.1640625" style="4" customWidth="1"/>
    <col min="7" max="16384" width="9.1640625" style="4"/>
  </cols>
  <sheetData>
    <row r="1" spans="1:5" ht="13.5" customHeight="1">
      <c r="A1" s="19"/>
      <c r="B1" s="19"/>
      <c r="C1" s="19"/>
      <c r="D1" s="19"/>
      <c r="E1" s="19"/>
    </row>
    <row r="2" spans="1:5" ht="13.5" customHeight="1">
      <c r="A2" s="19"/>
      <c r="B2" s="19"/>
      <c r="C2" s="19"/>
      <c r="D2" s="19"/>
      <c r="E2" s="19"/>
    </row>
    <row r="3" spans="1:5" ht="13.5" customHeight="1">
      <c r="A3" s="19"/>
      <c r="B3" s="19"/>
      <c r="C3" s="19"/>
      <c r="D3" s="44"/>
      <c r="E3" s="44"/>
    </row>
    <row r="4" spans="1:5" ht="13.5" customHeight="1">
      <c r="A4" s="19"/>
      <c r="B4" s="19"/>
      <c r="C4" s="45"/>
      <c r="D4" s="26" t="s">
        <v>1948</v>
      </c>
      <c r="E4" s="393" t="s">
        <v>1949</v>
      </c>
    </row>
    <row r="5" spans="1:5" ht="13.5" customHeight="1">
      <c r="A5" s="19"/>
      <c r="B5" s="19"/>
      <c r="C5" s="45"/>
      <c r="D5" s="26" t="s">
        <v>1950</v>
      </c>
      <c r="E5" s="394" t="s">
        <v>1951</v>
      </c>
    </row>
    <row r="6" spans="1:5" ht="13.5" customHeight="1">
      <c r="A6" s="19"/>
      <c r="B6" s="19"/>
      <c r="C6" s="45"/>
      <c r="D6" s="26" t="s">
        <v>1952</v>
      </c>
      <c r="E6" s="394" t="s">
        <v>1953</v>
      </c>
    </row>
    <row r="7" spans="1:5" ht="13.5" customHeight="1">
      <c r="A7" s="19"/>
      <c r="B7" s="19"/>
      <c r="C7" s="45"/>
      <c r="D7" s="26" t="s">
        <v>1954</v>
      </c>
      <c r="E7" s="394" t="s">
        <v>1955</v>
      </c>
    </row>
    <row r="8" spans="1:5" ht="13.5" customHeight="1">
      <c r="A8" s="19"/>
      <c r="B8" s="19"/>
      <c r="C8" s="45"/>
      <c r="D8" s="134"/>
      <c r="E8" s="134"/>
    </row>
    <row r="9" spans="1:5" ht="13.5" customHeight="1">
      <c r="A9" s="19"/>
      <c r="B9" s="19"/>
      <c r="C9" s="45"/>
      <c r="D9" s="26" t="s">
        <v>1956</v>
      </c>
      <c r="E9" s="133">
        <v>25.91</v>
      </c>
    </row>
    <row r="10" spans="1:5" ht="13.5" customHeight="1">
      <c r="A10" s="19"/>
      <c r="B10" s="19"/>
      <c r="C10" s="45"/>
      <c r="D10" s="26" t="s">
        <v>1957</v>
      </c>
      <c r="E10" s="133">
        <v>62.14</v>
      </c>
    </row>
    <row r="11" spans="1:5" ht="13.5" customHeight="1">
      <c r="A11" s="19"/>
      <c r="B11" s="19"/>
      <c r="C11" s="45"/>
      <c r="D11" s="26" t="s">
        <v>269</v>
      </c>
      <c r="E11" s="137">
        <f>E9+E10</f>
        <v>88.05</v>
      </c>
    </row>
    <row r="12" spans="1:5" ht="13.5" customHeight="1">
      <c r="A12" s="19"/>
      <c r="B12" s="19"/>
      <c r="C12" s="45"/>
      <c r="D12" s="134"/>
      <c r="E12" s="135"/>
    </row>
    <row r="13" spans="1:5" ht="13.5" customHeight="1">
      <c r="A13" s="19"/>
      <c r="B13" s="19"/>
      <c r="C13" s="45"/>
      <c r="D13" s="26" t="s">
        <v>264</v>
      </c>
      <c r="E13" s="133">
        <f>108.94+30.77</f>
        <v>139.71</v>
      </c>
    </row>
    <row r="14" spans="1:5" ht="13.5" customHeight="1">
      <c r="A14" s="19"/>
      <c r="B14" s="19"/>
      <c r="C14" s="45"/>
      <c r="D14" s="26" t="s">
        <v>1958</v>
      </c>
      <c r="E14" s="133">
        <v>108.94</v>
      </c>
    </row>
    <row r="15" spans="1:5" ht="13.5" customHeight="1">
      <c r="A15" s="19"/>
      <c r="B15" s="19"/>
      <c r="C15" s="45"/>
      <c r="D15" s="26" t="s">
        <v>1959</v>
      </c>
      <c r="E15" s="137">
        <f>E13-E14</f>
        <v>30.77000000000001</v>
      </c>
    </row>
    <row r="16" spans="1:5" ht="13.5" customHeight="1">
      <c r="A16" s="19"/>
      <c r="B16" s="19"/>
      <c r="C16" s="45"/>
      <c r="D16" s="134"/>
      <c r="E16" s="135"/>
    </row>
    <row r="17" spans="1:5" ht="13.5" customHeight="1">
      <c r="A17" s="19"/>
      <c r="B17" s="19"/>
      <c r="C17" s="45"/>
      <c r="D17" s="26" t="s">
        <v>1960</v>
      </c>
      <c r="E17" s="137">
        <v>29.72</v>
      </c>
    </row>
    <row r="18" spans="1:5" ht="13.5" customHeight="1">
      <c r="A18" s="19"/>
      <c r="B18" s="19"/>
      <c r="C18" s="45"/>
      <c r="D18" s="134"/>
      <c r="E18" s="135"/>
    </row>
    <row r="19" spans="1:5" ht="13.5" customHeight="1">
      <c r="A19" s="19"/>
      <c r="B19" s="19"/>
      <c r="C19" s="45"/>
      <c r="D19" s="26" t="s">
        <v>1961</v>
      </c>
      <c r="E19" s="137">
        <f>E11-E15-E17</f>
        <v>27.559999999999988</v>
      </c>
    </row>
    <row r="20" spans="1:5" ht="13.5" customHeight="1">
      <c r="A20" s="19"/>
      <c r="B20" s="19"/>
      <c r="C20" s="19"/>
      <c r="D20" s="100"/>
      <c r="E20" s="100"/>
    </row>
    <row r="21" spans="1:5" ht="13.5" customHeight="1">
      <c r="A21" s="19"/>
      <c r="B21" s="19"/>
      <c r="C21" s="19"/>
      <c r="D21" s="19"/>
      <c r="E21" s="19"/>
    </row>
    <row r="22" spans="1:5" ht="13.5" customHeight="1">
      <c r="A22" s="19"/>
      <c r="B22" s="19"/>
      <c r="C22" s="19"/>
      <c r="D22" s="19"/>
      <c r="E22" s="19"/>
    </row>
    <row r="23" spans="1:5" ht="13.5" customHeight="1">
      <c r="A23" s="19"/>
      <c r="B23" s="19"/>
      <c r="C23" s="19"/>
      <c r="D23" s="19"/>
      <c r="E23" s="19"/>
    </row>
    <row r="24" spans="1:5" ht="13.5" customHeight="1">
      <c r="A24" s="19"/>
      <c r="B24" s="19"/>
      <c r="C24" s="19"/>
      <c r="D24" s="19"/>
      <c r="E24" s="19"/>
    </row>
    <row r="25" spans="1:5" ht="13.5" customHeight="1">
      <c r="A25" s="19"/>
      <c r="B25" s="19"/>
      <c r="C25" s="19"/>
      <c r="D25" s="19"/>
      <c r="E25" s="19"/>
    </row>
    <row r="26" spans="1:5" ht="13.5" customHeight="1">
      <c r="A26" s="19"/>
      <c r="B26" s="19"/>
      <c r="C26" s="19"/>
      <c r="D26" s="19"/>
      <c r="E26" s="19"/>
    </row>
    <row r="27" spans="1:5" ht="13.5" customHeight="1">
      <c r="A27" s="19"/>
      <c r="B27" s="19"/>
      <c r="C27" s="19"/>
      <c r="D27" s="19"/>
      <c r="E27" s="19"/>
    </row>
    <row r="28" spans="1:5" ht="13.5" customHeight="1">
      <c r="A28" s="19"/>
      <c r="B28" s="19"/>
      <c r="C28" s="19"/>
      <c r="D28" s="19"/>
      <c r="E28" s="19"/>
    </row>
    <row r="29" spans="1:5" ht="13.5" customHeight="1">
      <c r="A29" s="19"/>
      <c r="B29" s="19"/>
      <c r="C29" s="19"/>
      <c r="D29" s="19"/>
      <c r="E29" s="19"/>
    </row>
    <row r="30" spans="1:5" ht="13.5" customHeight="1">
      <c r="A30" s="19"/>
      <c r="B30" s="19"/>
      <c r="C30" s="19"/>
      <c r="D30" s="19"/>
      <c r="E30" s="19"/>
    </row>
    <row r="31" spans="1:5" ht="13.5" customHeight="1">
      <c r="A31" s="19"/>
      <c r="B31" s="19"/>
      <c r="C31" s="19"/>
      <c r="D31" s="19"/>
      <c r="E31" s="19"/>
    </row>
    <row r="32" spans="1:5" ht="13.5" customHeight="1">
      <c r="A32" s="19"/>
      <c r="B32" s="19"/>
      <c r="C32" s="19"/>
      <c r="D32" s="19"/>
      <c r="E32" s="19"/>
    </row>
    <row r="33" spans="1:5" ht="13.5" customHeight="1">
      <c r="A33" s="19"/>
      <c r="B33" s="19"/>
      <c r="C33" s="19"/>
      <c r="D33" s="19"/>
      <c r="E33" s="19"/>
    </row>
    <row r="34" spans="1:5" ht="13.5" customHeight="1">
      <c r="A34" s="19"/>
      <c r="B34" s="19"/>
      <c r="C34" s="19"/>
      <c r="D34" s="19"/>
      <c r="E34" s="19"/>
    </row>
    <row r="35" spans="1:5" ht="13.5" customHeight="1">
      <c r="A35" s="19"/>
      <c r="B35" s="19"/>
      <c r="C35" s="19"/>
      <c r="D35" s="19"/>
      <c r="E35" s="19"/>
    </row>
    <row r="36" spans="1:5" ht="13.5" customHeight="1">
      <c r="A36" s="19"/>
      <c r="B36" s="19"/>
      <c r="C36" s="19"/>
      <c r="D36" s="19"/>
      <c r="E36" s="19"/>
    </row>
    <row r="37" spans="1:5" ht="13.5" customHeight="1">
      <c r="A37" s="19"/>
      <c r="B37" s="19"/>
      <c r="C37" s="19"/>
      <c r="D37" s="19"/>
      <c r="E37" s="19"/>
    </row>
    <row r="38" spans="1:5" ht="13.5" customHeight="1">
      <c r="A38" s="19"/>
      <c r="B38" s="19"/>
      <c r="C38" s="19"/>
      <c r="D38" s="19"/>
      <c r="E38" s="19"/>
    </row>
    <row r="39" spans="1:5" ht="13.5" customHeight="1">
      <c r="A39" s="19"/>
      <c r="B39" s="19"/>
      <c r="C39" s="19"/>
      <c r="D39" s="19"/>
      <c r="E39" s="19"/>
    </row>
    <row r="40" spans="1:5" ht="13.5" customHeight="1">
      <c r="A40" s="19"/>
      <c r="B40" s="19"/>
      <c r="C40" s="19"/>
      <c r="D40" s="19"/>
      <c r="E40" s="19"/>
    </row>
    <row r="41" spans="1:5" ht="13.5" customHeight="1">
      <c r="A41" s="19"/>
      <c r="B41" s="19"/>
      <c r="C41" s="19"/>
      <c r="D41" s="19"/>
      <c r="E41" s="19"/>
    </row>
    <row r="42" spans="1:5" ht="13.5" customHeight="1">
      <c r="A42" s="19"/>
      <c r="B42" s="19"/>
      <c r="C42" s="19"/>
      <c r="D42" s="19"/>
      <c r="E42" s="19"/>
    </row>
    <row r="43" spans="1:5" ht="13.5" customHeight="1">
      <c r="A43" s="19"/>
      <c r="B43" s="19"/>
      <c r="C43" s="19"/>
      <c r="D43" s="19"/>
      <c r="E43" s="19"/>
    </row>
    <row r="44" spans="1:5" ht="13.5" customHeight="1">
      <c r="A44" s="19"/>
      <c r="B44" s="19"/>
      <c r="C44" s="19"/>
      <c r="D44" s="19"/>
      <c r="E44" s="19"/>
    </row>
    <row r="45" spans="1:5" ht="13.5" customHeight="1">
      <c r="A45" s="19"/>
      <c r="B45" s="19"/>
      <c r="C45" s="19"/>
      <c r="D45" s="19"/>
      <c r="E45" s="19"/>
    </row>
    <row r="46" spans="1:5" ht="13.5" customHeight="1">
      <c r="A46" s="19"/>
      <c r="B46" s="19"/>
      <c r="C46" s="19"/>
      <c r="D46" s="19"/>
      <c r="E46" s="19"/>
    </row>
    <row r="47" spans="1:5" ht="13.5" customHeight="1">
      <c r="A47" s="19"/>
      <c r="B47" s="19"/>
      <c r="C47" s="19"/>
      <c r="D47" s="19"/>
      <c r="E47" s="19"/>
    </row>
    <row r="48" spans="1:5" ht="13.5" customHeight="1">
      <c r="A48" s="19"/>
      <c r="B48" s="19"/>
      <c r="C48" s="19"/>
      <c r="D48" s="19"/>
      <c r="E48" s="19"/>
    </row>
    <row r="49" spans="1:5" ht="13.5" customHeight="1">
      <c r="A49" s="19"/>
      <c r="B49" s="19"/>
      <c r="C49" s="19"/>
      <c r="D49" s="19"/>
      <c r="E49" s="19"/>
    </row>
    <row r="50" spans="1:5" ht="13.5" customHeight="1">
      <c r="A50" s="19"/>
      <c r="B50" s="19"/>
      <c r="C50" s="19"/>
      <c r="D50" s="19"/>
      <c r="E50" s="19"/>
    </row>
    <row r="51" spans="1:5" ht="13.5" customHeight="1">
      <c r="A51" s="19"/>
      <c r="B51" s="19"/>
      <c r="C51" s="19"/>
      <c r="D51" s="19"/>
      <c r="E51" s="19"/>
    </row>
    <row r="52" spans="1:5" ht="13.5" customHeight="1">
      <c r="A52" s="19"/>
      <c r="B52" s="19"/>
      <c r="C52" s="19"/>
      <c r="D52" s="19"/>
      <c r="E52" s="19"/>
    </row>
    <row r="53" spans="1:5" ht="13.5" customHeight="1">
      <c r="A53" s="19"/>
      <c r="B53" s="19"/>
      <c r="C53" s="19"/>
      <c r="D53" s="19"/>
      <c r="E53" s="19"/>
    </row>
    <row r="54" spans="1:5" ht="13.5" customHeight="1">
      <c r="A54" s="19"/>
      <c r="B54" s="19"/>
      <c r="C54" s="19"/>
      <c r="D54" s="19"/>
      <c r="E54" s="19"/>
    </row>
    <row r="55" spans="1:5" ht="13.5" customHeight="1">
      <c r="A55" s="19"/>
      <c r="B55" s="19"/>
      <c r="C55" s="19"/>
      <c r="D55" s="19"/>
      <c r="E55" s="19"/>
    </row>
    <row r="56" spans="1:5" ht="13.5" customHeight="1">
      <c r="A56" s="19"/>
      <c r="B56" s="19"/>
      <c r="C56" s="19"/>
      <c r="D56" s="19"/>
      <c r="E56" s="19"/>
    </row>
    <row r="57" spans="1:5" ht="13.5" customHeight="1">
      <c r="A57" s="19"/>
      <c r="B57" s="19"/>
      <c r="C57" s="19"/>
      <c r="D57" s="19"/>
      <c r="E57" s="19"/>
    </row>
    <row r="58" spans="1:5" ht="13.5" customHeight="1">
      <c r="A58" s="19"/>
      <c r="B58" s="19"/>
      <c r="C58" s="19"/>
      <c r="D58" s="19"/>
      <c r="E58" s="19"/>
    </row>
    <row r="59" spans="1:5" ht="13.5" customHeight="1">
      <c r="A59" s="19"/>
      <c r="B59" s="19"/>
      <c r="C59" s="19"/>
      <c r="D59" s="19"/>
      <c r="E59" s="19"/>
    </row>
    <row r="60" spans="1:5" ht="13.5" customHeight="1">
      <c r="A60" s="19"/>
      <c r="B60" s="19"/>
      <c r="C60" s="19"/>
      <c r="D60" s="19"/>
      <c r="E60" s="19"/>
    </row>
    <row r="61" spans="1:5" ht="13.5" customHeight="1">
      <c r="A61" s="19"/>
      <c r="B61" s="19"/>
      <c r="C61" s="19"/>
      <c r="D61" s="19"/>
      <c r="E61" s="19"/>
    </row>
    <row r="62" spans="1:5" ht="13.5" customHeight="1">
      <c r="A62" s="19"/>
      <c r="B62" s="19"/>
      <c r="C62" s="19"/>
      <c r="D62" s="19"/>
      <c r="E62" s="19"/>
    </row>
    <row r="63" spans="1:5" ht="13.5" customHeight="1">
      <c r="A63" s="19"/>
      <c r="B63" s="19"/>
      <c r="C63" s="19"/>
      <c r="D63" s="19"/>
      <c r="E63" s="19"/>
    </row>
    <row r="64" spans="1:5" ht="13.5" customHeight="1">
      <c r="A64" s="19"/>
      <c r="B64" s="19"/>
      <c r="C64" s="19"/>
      <c r="D64" s="19"/>
      <c r="E64" s="19"/>
    </row>
    <row r="65" spans="1:5" ht="13.5" customHeight="1">
      <c r="A65" s="19"/>
      <c r="B65" s="19"/>
      <c r="C65" s="19"/>
      <c r="D65" s="19"/>
      <c r="E65" s="19"/>
    </row>
    <row r="66" spans="1:5" ht="13.5" customHeight="1">
      <c r="A66" s="19"/>
      <c r="B66" s="19"/>
      <c r="C66" s="19"/>
      <c r="D66" s="19"/>
      <c r="E66" s="19"/>
    </row>
    <row r="67" spans="1:5" ht="13.5" customHeight="1">
      <c r="A67" s="19"/>
      <c r="B67" s="19"/>
      <c r="C67" s="19"/>
      <c r="D67" s="19"/>
      <c r="E67" s="19"/>
    </row>
    <row r="68" spans="1:5" ht="13.5" customHeight="1">
      <c r="A68" s="19"/>
      <c r="B68" s="19"/>
      <c r="C68" s="19"/>
      <c r="D68" s="19"/>
      <c r="E68" s="19"/>
    </row>
    <row r="69" spans="1:5" ht="13.5" customHeight="1">
      <c r="A69" s="19"/>
      <c r="B69" s="19"/>
      <c r="C69" s="19"/>
      <c r="D69" s="19"/>
      <c r="E69" s="19"/>
    </row>
    <row r="70" spans="1:5" ht="13.5" customHeight="1">
      <c r="A70" s="19"/>
      <c r="B70" s="19"/>
      <c r="C70" s="19"/>
      <c r="D70" s="19"/>
      <c r="E70" s="19"/>
    </row>
    <row r="71" spans="1:5" ht="13.5" customHeight="1">
      <c r="A71" s="19"/>
      <c r="B71" s="19"/>
      <c r="C71" s="19"/>
      <c r="D71" s="19"/>
      <c r="E71" s="19"/>
    </row>
    <row r="72" spans="1:5" ht="13.5" customHeight="1">
      <c r="A72" s="19"/>
      <c r="B72" s="19"/>
      <c r="C72" s="19"/>
      <c r="D72" s="19"/>
      <c r="E72" s="19"/>
    </row>
    <row r="73" spans="1:5" ht="13.5" customHeight="1">
      <c r="A73" s="19"/>
      <c r="B73" s="19"/>
      <c r="C73" s="19"/>
      <c r="D73" s="19"/>
      <c r="E73" s="19"/>
    </row>
    <row r="74" spans="1:5" ht="13.5" customHeight="1">
      <c r="A74" s="19"/>
      <c r="B74" s="19"/>
      <c r="C74" s="19"/>
      <c r="D74" s="19"/>
      <c r="E74" s="19"/>
    </row>
    <row r="75" spans="1:5" ht="13.5" customHeight="1">
      <c r="A75" s="19"/>
      <c r="B75" s="19"/>
      <c r="C75" s="19"/>
      <c r="D75" s="19"/>
      <c r="E75" s="19"/>
    </row>
    <row r="76" spans="1:5" ht="13.5" customHeight="1">
      <c r="A76" s="19"/>
      <c r="B76" s="19"/>
      <c r="C76" s="19"/>
      <c r="D76" s="19"/>
      <c r="E76" s="19"/>
    </row>
    <row r="77" spans="1:5" ht="13.5" customHeight="1">
      <c r="A77" s="19"/>
      <c r="B77" s="19"/>
      <c r="C77" s="19"/>
      <c r="D77" s="19"/>
      <c r="E77" s="19"/>
    </row>
    <row r="78" spans="1:5" ht="13.5" customHeight="1">
      <c r="A78" s="19"/>
      <c r="B78" s="19"/>
      <c r="C78" s="19"/>
      <c r="D78" s="19"/>
      <c r="E78" s="19"/>
    </row>
    <row r="79" spans="1:5" ht="13.5" customHeight="1">
      <c r="A79" s="19"/>
      <c r="B79" s="19"/>
      <c r="C79" s="19"/>
      <c r="D79" s="19"/>
      <c r="E79" s="19"/>
    </row>
    <row r="80" spans="1:5" ht="13.5" customHeight="1">
      <c r="A80" s="19"/>
      <c r="B80" s="19"/>
      <c r="C80" s="19"/>
      <c r="D80" s="19"/>
      <c r="E80" s="19"/>
    </row>
    <row r="81" spans="1:5" ht="13.5" customHeight="1">
      <c r="A81" s="19"/>
      <c r="B81" s="19"/>
      <c r="C81" s="19"/>
      <c r="D81" s="19"/>
      <c r="E81" s="19"/>
    </row>
    <row r="82" spans="1:5" ht="13.5" customHeight="1">
      <c r="A82" s="19"/>
      <c r="B82" s="19"/>
      <c r="C82" s="19"/>
      <c r="D82" s="19"/>
      <c r="E82" s="19"/>
    </row>
    <row r="83" spans="1:5" ht="13.5" customHeight="1">
      <c r="A83" s="19"/>
      <c r="B83" s="19"/>
      <c r="C83" s="19"/>
      <c r="D83" s="19"/>
      <c r="E83" s="19"/>
    </row>
    <row r="84" spans="1:5" ht="13.5" customHeight="1">
      <c r="A84" s="19"/>
      <c r="B84" s="19"/>
      <c r="C84" s="19"/>
      <c r="D84" s="19"/>
      <c r="E84" s="19"/>
    </row>
    <row r="85" spans="1:5" ht="13.5" customHeight="1">
      <c r="A85" s="19"/>
      <c r="B85" s="19"/>
      <c r="C85" s="19"/>
      <c r="D85" s="19"/>
      <c r="E85" s="19"/>
    </row>
    <row r="86" spans="1:5" ht="13.5" customHeight="1">
      <c r="A86" s="19"/>
      <c r="B86" s="19"/>
      <c r="C86" s="19"/>
      <c r="D86" s="19"/>
      <c r="E86" s="19"/>
    </row>
    <row r="87" spans="1:5" ht="13.5" customHeight="1">
      <c r="A87" s="19"/>
      <c r="B87" s="19"/>
      <c r="C87" s="19"/>
      <c r="D87" s="19"/>
      <c r="E87" s="19"/>
    </row>
    <row r="88" spans="1:5" ht="13.5" customHeight="1">
      <c r="A88" s="19"/>
      <c r="B88" s="19"/>
      <c r="C88" s="19"/>
      <c r="D88" s="19"/>
      <c r="E88" s="19"/>
    </row>
    <row r="89" spans="1:5" ht="13.5" customHeight="1">
      <c r="A89" s="19"/>
      <c r="B89" s="19"/>
      <c r="C89" s="19"/>
      <c r="D89" s="19"/>
      <c r="E89" s="19"/>
    </row>
    <row r="90" spans="1:5" ht="13.5" customHeight="1">
      <c r="A90" s="19"/>
      <c r="B90" s="19"/>
      <c r="C90" s="19"/>
      <c r="D90" s="19"/>
      <c r="E90" s="19"/>
    </row>
    <row r="91" spans="1:5" ht="13.5" customHeight="1">
      <c r="A91" s="19"/>
      <c r="B91" s="19"/>
      <c r="C91" s="19"/>
      <c r="D91" s="19"/>
      <c r="E91" s="19"/>
    </row>
    <row r="92" spans="1:5" ht="13.5" customHeight="1">
      <c r="A92" s="19"/>
      <c r="B92" s="19"/>
      <c r="C92" s="19"/>
      <c r="D92" s="19"/>
      <c r="E92" s="19"/>
    </row>
    <row r="93" spans="1:5" ht="13.5" customHeight="1">
      <c r="A93" s="19"/>
      <c r="B93" s="19"/>
      <c r="C93" s="19"/>
      <c r="D93" s="19"/>
      <c r="E93" s="19"/>
    </row>
    <row r="94" spans="1:5" ht="13.5" customHeight="1">
      <c r="A94" s="19"/>
      <c r="B94" s="19"/>
      <c r="C94" s="19"/>
      <c r="D94" s="19"/>
      <c r="E94" s="19"/>
    </row>
    <row r="95" spans="1:5" ht="13.5" customHeight="1">
      <c r="A95" s="19"/>
      <c r="B95" s="19"/>
      <c r="C95" s="19"/>
      <c r="D95" s="19"/>
      <c r="E95" s="19"/>
    </row>
    <row r="96" spans="1:5" ht="13.5" customHeight="1">
      <c r="A96" s="19"/>
      <c r="B96" s="19"/>
      <c r="C96" s="19"/>
      <c r="D96" s="19"/>
      <c r="E96" s="19"/>
    </row>
    <row r="97" spans="1:5" ht="13.5" customHeight="1">
      <c r="A97" s="19"/>
      <c r="B97" s="19"/>
      <c r="C97" s="19"/>
      <c r="D97" s="19"/>
      <c r="E97" s="19"/>
    </row>
    <row r="98" spans="1:5" ht="13.5" customHeight="1">
      <c r="A98" s="19"/>
      <c r="B98" s="19"/>
      <c r="C98" s="19"/>
      <c r="D98" s="19"/>
      <c r="E98" s="19"/>
    </row>
    <row r="99" spans="1:5" ht="13.5" customHeight="1">
      <c r="A99" s="19"/>
      <c r="B99" s="19"/>
      <c r="C99" s="19"/>
      <c r="D99" s="19"/>
      <c r="E99" s="19"/>
    </row>
    <row r="100" spans="1:5" ht="13.5" customHeight="1">
      <c r="A100" s="19"/>
      <c r="B100" s="19"/>
      <c r="C100" s="19"/>
      <c r="D100" s="19"/>
      <c r="E100" s="19"/>
    </row>
    <row r="101" spans="1:5" ht="13.5" customHeight="1">
      <c r="A101" s="19"/>
      <c r="B101" s="19"/>
      <c r="C101" s="19"/>
      <c r="D101" s="19"/>
      <c r="E101" s="19"/>
    </row>
    <row r="102" spans="1:5" ht="13.5" customHeight="1">
      <c r="A102" s="19"/>
      <c r="B102" s="19"/>
      <c r="C102" s="19"/>
      <c r="D102" s="19"/>
      <c r="E102" s="19"/>
    </row>
    <row r="103" spans="1:5" ht="13.5" customHeight="1">
      <c r="A103" s="19"/>
      <c r="B103" s="19"/>
      <c r="C103" s="19"/>
      <c r="D103" s="19"/>
      <c r="E103" s="19"/>
    </row>
    <row r="104" spans="1:5" ht="13.5" customHeight="1">
      <c r="A104" s="19"/>
      <c r="B104" s="19"/>
      <c r="C104" s="19"/>
      <c r="D104" s="19"/>
      <c r="E104" s="19"/>
    </row>
    <row r="105" spans="1:5" ht="13.5" customHeight="1">
      <c r="A105" s="19"/>
      <c r="B105" s="19"/>
      <c r="C105" s="19"/>
      <c r="D105" s="19"/>
      <c r="E105" s="19"/>
    </row>
    <row r="106" spans="1:5" ht="13.5" customHeight="1">
      <c r="A106" s="19"/>
      <c r="B106" s="19"/>
      <c r="C106" s="19"/>
      <c r="D106" s="19"/>
      <c r="E106" s="19"/>
    </row>
    <row r="107" spans="1:5" ht="13.5" customHeight="1">
      <c r="A107" s="19"/>
      <c r="B107" s="19"/>
      <c r="C107" s="19"/>
      <c r="D107" s="19"/>
      <c r="E107" s="19"/>
    </row>
    <row r="108" spans="1:5" ht="13.5" customHeight="1">
      <c r="A108" s="19"/>
      <c r="B108" s="19"/>
      <c r="C108" s="19"/>
      <c r="D108" s="19"/>
      <c r="E108" s="19"/>
    </row>
    <row r="109" spans="1:5" ht="13.5" customHeight="1">
      <c r="A109" s="19"/>
      <c r="B109" s="19"/>
      <c r="C109" s="19"/>
      <c r="D109" s="19"/>
      <c r="E109" s="19"/>
    </row>
    <row r="110" spans="1:5" ht="13.5" customHeight="1">
      <c r="A110" s="19"/>
      <c r="B110" s="19"/>
      <c r="C110" s="19"/>
      <c r="D110" s="19"/>
      <c r="E110" s="19"/>
    </row>
    <row r="111" spans="1:5" ht="13.5" customHeight="1">
      <c r="A111" s="19"/>
      <c r="B111" s="19"/>
      <c r="C111" s="19"/>
      <c r="D111" s="19"/>
      <c r="E111" s="19"/>
    </row>
    <row r="112" spans="1:5" ht="13.5" customHeight="1">
      <c r="A112" s="19"/>
      <c r="B112" s="19"/>
      <c r="C112" s="19"/>
      <c r="D112" s="19"/>
      <c r="E112" s="19"/>
    </row>
    <row r="113" spans="1:5" ht="13.5" customHeight="1">
      <c r="A113" s="19"/>
      <c r="B113" s="19"/>
      <c r="C113" s="19"/>
      <c r="D113" s="19"/>
      <c r="E113" s="19"/>
    </row>
    <row r="114" spans="1:5" ht="13.5" customHeight="1">
      <c r="A114" s="19"/>
      <c r="B114" s="19"/>
      <c r="C114" s="19"/>
      <c r="D114" s="19"/>
      <c r="E114" s="19"/>
    </row>
    <row r="115" spans="1:5" ht="13.5" customHeight="1">
      <c r="A115" s="19"/>
      <c r="B115" s="19"/>
      <c r="C115" s="19"/>
      <c r="D115" s="19"/>
      <c r="E115" s="19"/>
    </row>
    <row r="116" spans="1:5" ht="13.5" customHeight="1">
      <c r="A116" s="19"/>
      <c r="B116" s="19"/>
      <c r="C116" s="19"/>
      <c r="D116" s="19"/>
      <c r="E116" s="19"/>
    </row>
    <row r="117" spans="1:5" ht="13.5" customHeight="1">
      <c r="A117" s="19"/>
      <c r="B117" s="19"/>
      <c r="C117" s="19"/>
      <c r="D117" s="19"/>
      <c r="E117" s="19"/>
    </row>
    <row r="118" spans="1:5" ht="13.5" customHeight="1">
      <c r="A118" s="19"/>
      <c r="B118" s="19"/>
      <c r="C118" s="19"/>
      <c r="D118" s="19"/>
      <c r="E118" s="19"/>
    </row>
    <row r="119" spans="1:5" ht="13.5" customHeight="1">
      <c r="A119" s="19"/>
      <c r="B119" s="19"/>
      <c r="C119" s="19"/>
      <c r="D119" s="19"/>
      <c r="E119" s="19"/>
    </row>
    <row r="120" spans="1:5" ht="13.5" customHeight="1">
      <c r="A120" s="19"/>
      <c r="B120" s="19"/>
      <c r="C120" s="19"/>
      <c r="D120" s="19"/>
      <c r="E120" s="19"/>
    </row>
    <row r="121" spans="1:5" ht="13.5" customHeight="1">
      <c r="A121" s="19"/>
      <c r="B121" s="19"/>
      <c r="C121" s="19"/>
      <c r="D121" s="19"/>
      <c r="E121" s="19"/>
    </row>
    <row r="122" spans="1:5" ht="13.5" customHeight="1">
      <c r="A122" s="19"/>
      <c r="B122" s="19"/>
      <c r="C122" s="19"/>
      <c r="D122" s="19"/>
      <c r="E122" s="19"/>
    </row>
    <row r="123" spans="1:5" ht="13.5" customHeight="1">
      <c r="A123" s="19"/>
      <c r="B123" s="19"/>
      <c r="C123" s="19"/>
      <c r="D123" s="19"/>
      <c r="E123" s="19"/>
    </row>
    <row r="124" spans="1:5" ht="13.5" customHeight="1">
      <c r="A124" s="19"/>
      <c r="B124" s="19"/>
      <c r="C124" s="19"/>
      <c r="D124" s="19"/>
      <c r="E124" s="19"/>
    </row>
    <row r="125" spans="1:5" ht="13.5" customHeight="1">
      <c r="A125" s="19"/>
      <c r="B125" s="19"/>
      <c r="C125" s="19"/>
      <c r="D125" s="19"/>
      <c r="E125" s="19"/>
    </row>
    <row r="126" spans="1:5" ht="13.5" customHeight="1">
      <c r="A126" s="19"/>
      <c r="B126" s="19"/>
      <c r="C126" s="19"/>
      <c r="D126" s="19"/>
      <c r="E126" s="19"/>
    </row>
    <row r="127" spans="1:5" ht="13.5" customHeight="1">
      <c r="A127" s="19"/>
      <c r="B127" s="19"/>
      <c r="C127" s="19"/>
      <c r="D127" s="19"/>
      <c r="E127" s="19"/>
    </row>
    <row r="128" spans="1:5" ht="13.5" customHeight="1">
      <c r="A128" s="19"/>
      <c r="B128" s="19"/>
      <c r="C128" s="19"/>
      <c r="D128" s="19"/>
      <c r="E128" s="19"/>
    </row>
    <row r="129" spans="1:5" ht="13.5" customHeight="1">
      <c r="A129" s="19"/>
      <c r="B129" s="19"/>
      <c r="C129" s="19"/>
      <c r="D129" s="19"/>
      <c r="E129" s="19"/>
    </row>
    <row r="130" spans="1:5" ht="13.5" customHeight="1">
      <c r="A130" s="19"/>
      <c r="B130" s="19"/>
      <c r="C130" s="19"/>
      <c r="D130" s="19"/>
      <c r="E130" s="19"/>
    </row>
    <row r="131" spans="1:5" ht="13.5" customHeight="1">
      <c r="A131" s="19"/>
      <c r="B131" s="19"/>
      <c r="C131" s="19"/>
      <c r="D131" s="19"/>
      <c r="E131" s="19"/>
    </row>
    <row r="132" spans="1:5" ht="13.5" customHeight="1">
      <c r="A132" s="19"/>
      <c r="B132" s="19"/>
      <c r="C132" s="19"/>
      <c r="D132" s="19"/>
      <c r="E132" s="19"/>
    </row>
    <row r="133" spans="1:5" ht="13.5" customHeight="1">
      <c r="A133" s="19"/>
      <c r="B133" s="19"/>
      <c r="C133" s="19"/>
      <c r="D133" s="19"/>
      <c r="E133" s="19"/>
    </row>
    <row r="134" spans="1:5" ht="13.5" customHeight="1">
      <c r="A134" s="19"/>
      <c r="B134" s="19"/>
      <c r="C134" s="19"/>
      <c r="D134" s="19"/>
      <c r="E134" s="19"/>
    </row>
    <row r="135" spans="1:5" ht="13.5" customHeight="1">
      <c r="A135" s="19"/>
      <c r="B135" s="19"/>
      <c r="C135" s="19"/>
      <c r="D135" s="19"/>
      <c r="E135" s="19"/>
    </row>
    <row r="136" spans="1:5" ht="13.5" customHeight="1">
      <c r="A136" s="19"/>
      <c r="B136" s="19"/>
      <c r="C136" s="19"/>
      <c r="D136" s="19"/>
      <c r="E136" s="19"/>
    </row>
    <row r="137" spans="1:5" ht="13.5" customHeight="1">
      <c r="A137" s="19"/>
      <c r="B137" s="19"/>
      <c r="C137" s="19"/>
      <c r="D137" s="19"/>
      <c r="E137" s="19"/>
    </row>
    <row r="138" spans="1:5" ht="13.5" customHeight="1">
      <c r="A138" s="19"/>
      <c r="B138" s="19"/>
      <c r="C138" s="19"/>
      <c r="D138" s="19"/>
      <c r="E138" s="19"/>
    </row>
    <row r="139" spans="1:5" ht="13.5" customHeight="1">
      <c r="A139" s="19"/>
      <c r="B139" s="19"/>
      <c r="C139" s="19"/>
      <c r="D139" s="19"/>
      <c r="E139" s="19"/>
    </row>
    <row r="140" spans="1:5" ht="13.5" customHeight="1">
      <c r="A140" s="19"/>
      <c r="B140" s="19"/>
      <c r="C140" s="19"/>
      <c r="D140" s="19"/>
      <c r="E140" s="19"/>
    </row>
    <row r="141" spans="1:5" ht="13.5" customHeight="1">
      <c r="A141" s="19"/>
      <c r="B141" s="19"/>
      <c r="C141" s="19"/>
      <c r="D141" s="19"/>
      <c r="E141" s="19"/>
    </row>
    <row r="142" spans="1:5" ht="13.5" customHeight="1">
      <c r="A142" s="19"/>
      <c r="B142" s="19"/>
      <c r="C142" s="19"/>
      <c r="D142" s="19"/>
      <c r="E142" s="19"/>
    </row>
    <row r="143" spans="1:5" ht="13.5" customHeight="1">
      <c r="A143" s="19"/>
      <c r="B143" s="19"/>
      <c r="C143" s="19"/>
      <c r="D143" s="19"/>
      <c r="E143" s="19"/>
    </row>
    <row r="144" spans="1:5" ht="13.5" customHeight="1">
      <c r="A144" s="19"/>
      <c r="B144" s="19"/>
      <c r="C144" s="19"/>
      <c r="D144" s="19"/>
      <c r="E144" s="19"/>
    </row>
    <row r="145" spans="1:5" ht="13.5" customHeight="1">
      <c r="A145" s="19"/>
      <c r="B145" s="19"/>
      <c r="C145" s="19"/>
      <c r="D145" s="19"/>
      <c r="E145" s="19"/>
    </row>
    <row r="146" spans="1:5" ht="13.5" customHeight="1">
      <c r="A146" s="19"/>
      <c r="B146" s="19"/>
      <c r="C146" s="19"/>
      <c r="D146" s="19"/>
      <c r="E146" s="19"/>
    </row>
    <row r="147" spans="1:5" ht="13.5" customHeight="1">
      <c r="A147" s="19"/>
      <c r="B147" s="19"/>
      <c r="C147" s="19"/>
      <c r="D147" s="19"/>
      <c r="E147" s="19"/>
    </row>
    <row r="148" spans="1:5" ht="13.5" customHeight="1">
      <c r="A148" s="19"/>
      <c r="B148" s="19"/>
      <c r="C148" s="19"/>
      <c r="D148" s="19"/>
      <c r="E148" s="19"/>
    </row>
    <row r="149" spans="1:5" ht="13.5" customHeight="1">
      <c r="A149" s="19"/>
      <c r="B149" s="19"/>
      <c r="C149" s="19"/>
      <c r="D149" s="19"/>
      <c r="E149" s="19"/>
    </row>
    <row r="150" spans="1:5" ht="13.5" customHeight="1">
      <c r="A150" s="19"/>
      <c r="B150" s="19"/>
      <c r="C150" s="19"/>
      <c r="D150" s="19"/>
      <c r="E150" s="19"/>
    </row>
    <row r="151" spans="1:5" ht="13.5" customHeight="1">
      <c r="A151" s="19"/>
      <c r="B151" s="19"/>
      <c r="C151" s="19"/>
      <c r="D151" s="19"/>
      <c r="E151" s="19"/>
    </row>
    <row r="152" spans="1:5" ht="13.5" customHeight="1">
      <c r="A152" s="19"/>
      <c r="B152" s="19"/>
      <c r="C152" s="19"/>
      <c r="D152" s="19"/>
      <c r="E152" s="19"/>
    </row>
    <row r="153" spans="1:5" ht="13.5" customHeight="1">
      <c r="A153" s="19"/>
      <c r="B153" s="19"/>
      <c r="C153" s="19"/>
      <c r="D153" s="19"/>
      <c r="E153" s="19"/>
    </row>
    <row r="154" spans="1:5" ht="13.5" customHeight="1">
      <c r="A154" s="19"/>
      <c r="B154" s="19"/>
      <c r="C154" s="19"/>
      <c r="D154" s="19"/>
      <c r="E154" s="19"/>
    </row>
    <row r="155" spans="1:5" ht="13.5" customHeight="1">
      <c r="A155" s="19"/>
      <c r="B155" s="19"/>
      <c r="C155" s="19"/>
      <c r="D155" s="19"/>
      <c r="E155" s="19"/>
    </row>
    <row r="156" spans="1:5" ht="13.5" customHeight="1">
      <c r="A156" s="19"/>
      <c r="B156" s="19"/>
      <c r="C156" s="19"/>
      <c r="D156" s="19"/>
      <c r="E156" s="19"/>
    </row>
    <row r="157" spans="1:5" ht="13.5" customHeight="1">
      <c r="A157" s="19"/>
      <c r="B157" s="19"/>
      <c r="C157" s="19"/>
      <c r="D157" s="19"/>
      <c r="E157" s="19"/>
    </row>
    <row r="158" spans="1:5" ht="13.5" customHeight="1">
      <c r="A158" s="19"/>
      <c r="B158" s="19"/>
      <c r="C158" s="19"/>
      <c r="D158" s="19"/>
      <c r="E158" s="19"/>
    </row>
    <row r="159" spans="1:5" ht="13.5" customHeight="1">
      <c r="A159" s="19"/>
      <c r="B159" s="19"/>
      <c r="C159" s="19"/>
      <c r="D159" s="19"/>
      <c r="E159" s="19"/>
    </row>
    <row r="160" spans="1:5" ht="13.5" customHeight="1">
      <c r="A160" s="19"/>
      <c r="B160" s="19"/>
      <c r="C160" s="19"/>
      <c r="D160" s="19"/>
      <c r="E160" s="19"/>
    </row>
    <row r="161" spans="1:5" ht="13.5" customHeight="1">
      <c r="A161" s="19"/>
      <c r="B161" s="19"/>
      <c r="C161" s="19"/>
      <c r="D161" s="19"/>
      <c r="E161" s="19"/>
    </row>
    <row r="162" spans="1:5" ht="13.5" customHeight="1">
      <c r="A162" s="19"/>
      <c r="B162" s="19"/>
      <c r="C162" s="19"/>
      <c r="D162" s="19"/>
      <c r="E162" s="19"/>
    </row>
    <row r="163" spans="1:5" ht="13.5" customHeight="1">
      <c r="A163" s="19"/>
      <c r="B163" s="19"/>
      <c r="C163" s="19"/>
      <c r="D163" s="19"/>
      <c r="E163" s="19"/>
    </row>
    <row r="164" spans="1:5" ht="13.5" customHeight="1">
      <c r="A164" s="19"/>
      <c r="B164" s="19"/>
      <c r="C164" s="19"/>
      <c r="D164" s="19"/>
      <c r="E164" s="19"/>
    </row>
    <row r="165" spans="1:5" ht="13.5" customHeight="1">
      <c r="A165" s="19"/>
      <c r="B165" s="19"/>
      <c r="C165" s="19"/>
      <c r="D165" s="19"/>
      <c r="E165" s="19"/>
    </row>
    <row r="166" spans="1:5" ht="13.5" customHeight="1">
      <c r="A166" s="19"/>
      <c r="B166" s="19"/>
      <c r="C166" s="19"/>
      <c r="D166" s="19"/>
      <c r="E166" s="19"/>
    </row>
    <row r="167" spans="1:5" ht="13.5" customHeight="1">
      <c r="A167" s="19"/>
      <c r="B167" s="19"/>
      <c r="C167" s="19"/>
      <c r="D167" s="19"/>
      <c r="E167" s="19"/>
    </row>
    <row r="168" spans="1:5" ht="13.5" customHeight="1">
      <c r="A168" s="19"/>
      <c r="B168" s="19"/>
      <c r="C168" s="19"/>
      <c r="D168" s="19"/>
      <c r="E168" s="19"/>
    </row>
    <row r="169" spans="1:5" ht="13.5" customHeight="1">
      <c r="A169" s="19"/>
      <c r="B169" s="19"/>
      <c r="C169" s="19"/>
      <c r="D169" s="19"/>
      <c r="E169" s="19"/>
    </row>
    <row r="170" spans="1:5" ht="13.5" customHeight="1">
      <c r="A170" s="19"/>
      <c r="B170" s="19"/>
      <c r="C170" s="19"/>
      <c r="D170" s="19"/>
      <c r="E170" s="19"/>
    </row>
    <row r="171" spans="1:5" ht="13.5" customHeight="1">
      <c r="A171" s="19"/>
      <c r="B171" s="19"/>
      <c r="C171" s="19"/>
      <c r="D171" s="19"/>
      <c r="E171" s="19"/>
    </row>
    <row r="172" spans="1:5" ht="13.5" customHeight="1">
      <c r="A172" s="19"/>
      <c r="B172" s="19"/>
      <c r="C172" s="19"/>
      <c r="D172" s="19"/>
      <c r="E172" s="19"/>
    </row>
    <row r="173" spans="1:5" ht="13.5" customHeight="1">
      <c r="A173" s="19"/>
      <c r="B173" s="19"/>
      <c r="C173" s="19"/>
      <c r="D173" s="19"/>
      <c r="E173" s="19"/>
    </row>
    <row r="174" spans="1:5" ht="13.5" customHeight="1">
      <c r="A174" s="19"/>
      <c r="B174" s="19"/>
      <c r="C174" s="19"/>
      <c r="D174" s="19"/>
      <c r="E174" s="19"/>
    </row>
    <row r="175" spans="1:5" ht="13.5" customHeight="1">
      <c r="A175" s="19"/>
      <c r="B175" s="19"/>
      <c r="C175" s="19"/>
      <c r="D175" s="19"/>
      <c r="E175" s="19"/>
    </row>
    <row r="176" spans="1:5" ht="13.5" customHeight="1">
      <c r="A176" s="19"/>
      <c r="B176" s="19"/>
      <c r="C176" s="19"/>
      <c r="D176" s="19"/>
      <c r="E176" s="19"/>
    </row>
    <row r="177" spans="1:5" ht="13.5" customHeight="1">
      <c r="A177" s="19"/>
      <c r="B177" s="19"/>
      <c r="C177" s="19"/>
      <c r="D177" s="19"/>
      <c r="E177" s="19"/>
    </row>
    <row r="178" spans="1:5" ht="13.5" customHeight="1">
      <c r="A178" s="19"/>
      <c r="B178" s="19"/>
      <c r="C178" s="19"/>
      <c r="D178" s="19"/>
      <c r="E178" s="19"/>
    </row>
    <row r="179" spans="1:5" ht="13.5" customHeight="1">
      <c r="A179" s="19"/>
      <c r="B179" s="19"/>
      <c r="C179" s="19"/>
      <c r="D179" s="19"/>
      <c r="E179" s="19"/>
    </row>
    <row r="180" spans="1:5" ht="13.5" customHeight="1">
      <c r="A180" s="19"/>
      <c r="B180" s="19"/>
      <c r="C180" s="19"/>
      <c r="D180" s="19"/>
      <c r="E180" s="19"/>
    </row>
    <row r="181" spans="1:5" ht="13.5" customHeight="1">
      <c r="A181" s="19"/>
      <c r="B181" s="19"/>
      <c r="C181" s="19"/>
      <c r="D181" s="19"/>
      <c r="E181" s="19"/>
    </row>
    <row r="182" spans="1:5" ht="13.5" customHeight="1">
      <c r="A182" s="19"/>
      <c r="B182" s="19"/>
      <c r="C182" s="19"/>
      <c r="D182" s="19"/>
      <c r="E182" s="19"/>
    </row>
    <row r="183" spans="1:5" ht="13.5" customHeight="1">
      <c r="A183" s="19"/>
      <c r="B183" s="19"/>
      <c r="C183" s="19"/>
      <c r="D183" s="19"/>
      <c r="E183" s="19"/>
    </row>
    <row r="184" spans="1:5" ht="13.5" customHeight="1">
      <c r="A184" s="19"/>
      <c r="B184" s="19"/>
      <c r="C184" s="19"/>
      <c r="D184" s="19"/>
      <c r="E184" s="19"/>
    </row>
    <row r="185" spans="1:5" ht="13.5" customHeight="1">
      <c r="A185" s="19"/>
      <c r="B185" s="19"/>
      <c r="C185" s="19"/>
      <c r="D185" s="19"/>
      <c r="E185" s="19"/>
    </row>
    <row r="186" spans="1:5" ht="13.5" customHeight="1">
      <c r="A186" s="19"/>
      <c r="B186" s="19"/>
      <c r="C186" s="19"/>
      <c r="D186" s="19"/>
      <c r="E186" s="19"/>
    </row>
    <row r="187" spans="1:5" ht="13.5" customHeight="1">
      <c r="A187" s="19"/>
      <c r="B187" s="19"/>
      <c r="C187" s="19"/>
      <c r="D187" s="19"/>
      <c r="E187" s="19"/>
    </row>
    <row r="188" spans="1:5" ht="13.5" customHeight="1">
      <c r="A188" s="19"/>
      <c r="B188" s="19"/>
      <c r="C188" s="19"/>
      <c r="D188" s="19"/>
      <c r="E188" s="19"/>
    </row>
    <row r="189" spans="1:5" ht="13.5" customHeight="1">
      <c r="A189" s="19"/>
      <c r="B189" s="19"/>
      <c r="C189" s="19"/>
      <c r="D189" s="19"/>
      <c r="E189" s="19"/>
    </row>
    <row r="190" spans="1:5" ht="13.5" customHeight="1">
      <c r="A190" s="19"/>
      <c r="B190" s="19"/>
      <c r="C190" s="19"/>
      <c r="D190" s="19"/>
      <c r="E190" s="19"/>
    </row>
    <row r="191" spans="1:5" ht="13.5" customHeight="1">
      <c r="A191" s="19"/>
      <c r="B191" s="19"/>
      <c r="C191" s="19"/>
      <c r="D191" s="19"/>
      <c r="E191" s="19"/>
    </row>
    <row r="192" spans="1:5" ht="13.5" customHeight="1">
      <c r="A192" s="19"/>
      <c r="B192" s="19"/>
      <c r="C192" s="19"/>
      <c r="D192" s="19"/>
      <c r="E192" s="19"/>
    </row>
    <row r="193" spans="1:5" ht="13.5" customHeight="1">
      <c r="A193" s="19"/>
      <c r="B193" s="19"/>
      <c r="C193" s="19"/>
      <c r="D193" s="19"/>
      <c r="E193" s="19"/>
    </row>
    <row r="194" spans="1:5" ht="13.5" customHeight="1">
      <c r="A194" s="19"/>
      <c r="B194" s="19"/>
      <c r="C194" s="19"/>
      <c r="D194" s="19"/>
      <c r="E194" s="19"/>
    </row>
    <row r="195" spans="1:5" ht="13.5" customHeight="1">
      <c r="A195" s="19"/>
      <c r="B195" s="19"/>
      <c r="C195" s="19"/>
      <c r="D195" s="19"/>
      <c r="E195" s="19"/>
    </row>
    <row r="196" spans="1:5" ht="13.5" customHeight="1">
      <c r="A196" s="19"/>
      <c r="B196" s="19"/>
      <c r="C196" s="19"/>
      <c r="D196" s="19"/>
      <c r="E196" s="19"/>
    </row>
    <row r="197" spans="1:5" ht="13.5" customHeight="1">
      <c r="A197" s="19"/>
      <c r="B197" s="19"/>
      <c r="C197" s="19"/>
      <c r="D197" s="19"/>
      <c r="E197" s="19"/>
    </row>
    <row r="198" spans="1:5" ht="13.5" customHeight="1">
      <c r="A198" s="19"/>
      <c r="B198" s="19"/>
      <c r="C198" s="19"/>
      <c r="D198" s="19"/>
      <c r="E198" s="19"/>
    </row>
    <row r="199" spans="1:5" ht="13.5" customHeight="1">
      <c r="A199" s="19"/>
      <c r="B199" s="19"/>
      <c r="C199" s="19"/>
      <c r="D199" s="19"/>
      <c r="E199" s="19"/>
    </row>
    <row r="200" spans="1:5" ht="13.5" customHeight="1">
      <c r="A200" s="19"/>
      <c r="B200" s="19"/>
      <c r="C200" s="19"/>
      <c r="D200" s="19"/>
      <c r="E200" s="19"/>
    </row>
    <row r="201" spans="1:5" ht="13.5" customHeight="1">
      <c r="A201" s="19"/>
      <c r="B201" s="19"/>
      <c r="C201" s="19"/>
      <c r="D201" s="19"/>
      <c r="E201" s="19"/>
    </row>
    <row r="202" spans="1:5" ht="13.5" customHeight="1">
      <c r="A202" s="19"/>
      <c r="B202" s="19"/>
      <c r="C202" s="19"/>
      <c r="D202" s="19"/>
      <c r="E202" s="19"/>
    </row>
    <row r="203" spans="1:5" ht="13.5" customHeight="1">
      <c r="A203" s="19"/>
      <c r="B203" s="19"/>
      <c r="C203" s="19"/>
      <c r="D203" s="19"/>
      <c r="E203" s="19"/>
    </row>
    <row r="204" spans="1:5" ht="13.5" customHeight="1">
      <c r="A204" s="19"/>
      <c r="B204" s="19"/>
      <c r="C204" s="19"/>
      <c r="D204" s="19"/>
      <c r="E204" s="19"/>
    </row>
    <row r="205" spans="1:5" ht="13.5" customHeight="1">
      <c r="A205" s="19"/>
      <c r="B205" s="19"/>
      <c r="C205" s="19"/>
      <c r="D205" s="19"/>
      <c r="E205" s="19"/>
    </row>
    <row r="206" spans="1:5" ht="13.5" customHeight="1">
      <c r="A206" s="19"/>
      <c r="B206" s="19"/>
      <c r="C206" s="19"/>
      <c r="D206" s="19"/>
      <c r="E206" s="19"/>
    </row>
    <row r="207" spans="1:5" ht="13.5" customHeight="1">
      <c r="A207" s="19"/>
      <c r="B207" s="19"/>
      <c r="C207" s="19"/>
      <c r="D207" s="19"/>
      <c r="E207" s="19"/>
    </row>
    <row r="208" spans="1:5" ht="13.5" customHeight="1">
      <c r="A208" s="19"/>
      <c r="B208" s="19"/>
      <c r="C208" s="19"/>
      <c r="D208" s="19"/>
      <c r="E208" s="19"/>
    </row>
    <row r="209" spans="1:5" ht="13.5" customHeight="1">
      <c r="A209" s="19"/>
      <c r="B209" s="19"/>
      <c r="C209" s="19"/>
      <c r="D209" s="19"/>
      <c r="E209" s="19"/>
    </row>
    <row r="210" spans="1:5" ht="13.5" customHeight="1">
      <c r="A210" s="19"/>
      <c r="B210" s="19"/>
      <c r="C210" s="19"/>
      <c r="D210" s="19"/>
      <c r="E210" s="19"/>
    </row>
    <row r="211" spans="1:5" ht="13.5" customHeight="1">
      <c r="A211" s="19"/>
      <c r="B211" s="19"/>
      <c r="C211" s="19"/>
      <c r="D211" s="19"/>
      <c r="E211" s="19"/>
    </row>
    <row r="212" spans="1:5" ht="13.5" customHeight="1">
      <c r="A212" s="19"/>
      <c r="B212" s="19"/>
      <c r="C212" s="19"/>
      <c r="D212" s="19"/>
      <c r="E212" s="19"/>
    </row>
    <row r="213" spans="1:5" ht="13.5" customHeight="1">
      <c r="A213" s="19"/>
      <c r="B213" s="19"/>
      <c r="C213" s="19"/>
      <c r="D213" s="19"/>
      <c r="E213" s="19"/>
    </row>
    <row r="214" spans="1:5" ht="13.5" customHeight="1">
      <c r="A214" s="19"/>
      <c r="B214" s="19"/>
      <c r="C214" s="19"/>
      <c r="D214" s="19"/>
      <c r="E214" s="19"/>
    </row>
    <row r="215" spans="1:5" ht="13.5" customHeight="1">
      <c r="A215" s="19"/>
      <c r="B215" s="19"/>
      <c r="C215" s="19"/>
      <c r="D215" s="19"/>
      <c r="E215" s="19"/>
    </row>
    <row r="216" spans="1:5" ht="13.5" customHeight="1">
      <c r="A216" s="19"/>
      <c r="B216" s="19"/>
      <c r="C216" s="19"/>
      <c r="D216" s="19"/>
      <c r="E216" s="19"/>
    </row>
    <row r="217" spans="1:5" ht="13.5" customHeight="1">
      <c r="A217" s="19"/>
      <c r="B217" s="19"/>
      <c r="C217" s="19"/>
      <c r="D217" s="19"/>
      <c r="E217" s="19"/>
    </row>
    <row r="218" spans="1:5" ht="13.5" customHeight="1">
      <c r="A218" s="19"/>
      <c r="B218" s="19"/>
      <c r="C218" s="19"/>
      <c r="D218" s="19"/>
      <c r="E218" s="19"/>
    </row>
    <row r="219" spans="1:5" ht="13.5" customHeight="1">
      <c r="A219" s="19"/>
      <c r="B219" s="19"/>
      <c r="C219" s="19"/>
      <c r="D219" s="19"/>
      <c r="E219" s="19"/>
    </row>
    <row r="220" spans="1:5" ht="13.5" customHeight="1">
      <c r="A220" s="19"/>
      <c r="B220" s="19"/>
      <c r="C220" s="19"/>
      <c r="D220" s="19"/>
      <c r="E220" s="19"/>
    </row>
    <row r="221" spans="1:5" ht="13.5" customHeight="1">
      <c r="A221" s="19"/>
      <c r="B221" s="19"/>
      <c r="C221" s="19"/>
      <c r="D221" s="19"/>
      <c r="E221" s="19"/>
    </row>
    <row r="222" spans="1:5" ht="13.5" customHeight="1">
      <c r="A222" s="19"/>
      <c r="B222" s="19"/>
      <c r="C222" s="19"/>
      <c r="D222" s="19"/>
      <c r="E222" s="19"/>
    </row>
    <row r="223" spans="1:5" ht="13.5" customHeight="1">
      <c r="A223" s="19"/>
      <c r="B223" s="19"/>
      <c r="C223" s="19"/>
      <c r="D223" s="19"/>
      <c r="E223" s="19"/>
    </row>
    <row r="224" spans="1:5" ht="13.5" customHeight="1">
      <c r="A224" s="19"/>
      <c r="B224" s="19"/>
      <c r="C224" s="19"/>
      <c r="D224" s="19"/>
      <c r="E224" s="19"/>
    </row>
    <row r="225" spans="1:5" ht="13.5" customHeight="1">
      <c r="A225" s="19"/>
      <c r="B225" s="19"/>
      <c r="C225" s="19"/>
      <c r="D225" s="19"/>
      <c r="E225" s="19"/>
    </row>
    <row r="226" spans="1:5" ht="13.5" customHeight="1">
      <c r="A226" s="19"/>
      <c r="B226" s="19"/>
      <c r="C226" s="19"/>
      <c r="D226" s="19"/>
      <c r="E226" s="19"/>
    </row>
    <row r="227" spans="1:5" ht="13.5" customHeight="1">
      <c r="A227" s="19"/>
      <c r="B227" s="19"/>
      <c r="C227" s="19"/>
      <c r="D227" s="19"/>
      <c r="E227" s="19"/>
    </row>
    <row r="228" spans="1:5" ht="13.5" customHeight="1">
      <c r="A228" s="19"/>
      <c r="B228" s="19"/>
      <c r="C228" s="19"/>
      <c r="D228" s="19"/>
      <c r="E228" s="19"/>
    </row>
    <row r="229" spans="1:5" ht="13.5" customHeight="1">
      <c r="A229" s="19"/>
      <c r="B229" s="19"/>
      <c r="C229" s="19"/>
      <c r="D229" s="19"/>
      <c r="E229" s="19"/>
    </row>
    <row r="230" spans="1:5" ht="13.5" customHeight="1">
      <c r="A230" s="19"/>
      <c r="B230" s="19"/>
      <c r="C230" s="19"/>
      <c r="D230" s="19"/>
      <c r="E230" s="19"/>
    </row>
    <row r="231" spans="1:5" ht="13.5" customHeight="1">
      <c r="A231" s="19"/>
      <c r="B231" s="19"/>
      <c r="C231" s="19"/>
      <c r="D231" s="19"/>
      <c r="E231" s="19"/>
    </row>
    <row r="232" spans="1:5" ht="13.5" customHeight="1">
      <c r="A232" s="19"/>
      <c r="B232" s="19"/>
      <c r="C232" s="19"/>
      <c r="D232" s="19"/>
      <c r="E232" s="19"/>
    </row>
    <row r="233" spans="1:5" ht="13.5" customHeight="1">
      <c r="A233" s="19"/>
      <c r="B233" s="19"/>
      <c r="C233" s="19"/>
      <c r="D233" s="19"/>
      <c r="E233" s="19"/>
    </row>
    <row r="234" spans="1:5" ht="13.5" customHeight="1">
      <c r="A234" s="19"/>
      <c r="B234" s="19"/>
      <c r="C234" s="19"/>
      <c r="D234" s="19"/>
      <c r="E234" s="19"/>
    </row>
    <row r="235" spans="1:5" ht="13.5" customHeight="1">
      <c r="A235" s="19"/>
      <c r="B235" s="19"/>
      <c r="C235" s="19"/>
      <c r="D235" s="19"/>
      <c r="E235" s="19"/>
    </row>
    <row r="236" spans="1:5" ht="13.5" customHeight="1">
      <c r="A236" s="19"/>
      <c r="B236" s="19"/>
      <c r="C236" s="19"/>
      <c r="D236" s="19"/>
      <c r="E236" s="19"/>
    </row>
    <row r="237" spans="1:5" ht="13.5" customHeight="1">
      <c r="A237" s="19"/>
      <c r="B237" s="19"/>
      <c r="C237" s="19"/>
      <c r="D237" s="19"/>
      <c r="E237" s="19"/>
    </row>
    <row r="238" spans="1:5" ht="13.5" customHeight="1">
      <c r="A238" s="19"/>
      <c r="B238" s="19"/>
      <c r="C238" s="19"/>
      <c r="D238" s="19"/>
      <c r="E238" s="19"/>
    </row>
    <row r="239" spans="1:5" ht="13.5" customHeight="1">
      <c r="A239" s="19"/>
      <c r="B239" s="19"/>
      <c r="C239" s="19"/>
      <c r="D239" s="19"/>
      <c r="E239" s="19"/>
    </row>
    <row r="240" spans="1:5" ht="13.5" customHeight="1">
      <c r="A240" s="19"/>
      <c r="B240" s="19"/>
      <c r="C240" s="19"/>
      <c r="D240" s="19"/>
      <c r="E240" s="19"/>
    </row>
    <row r="241" spans="1:5" ht="13.5" customHeight="1">
      <c r="A241" s="19"/>
      <c r="B241" s="19"/>
      <c r="C241" s="19"/>
      <c r="D241" s="19"/>
      <c r="E241" s="19"/>
    </row>
    <row r="242" spans="1:5" ht="13.5" customHeight="1">
      <c r="A242" s="19"/>
      <c r="B242" s="19"/>
      <c r="C242" s="19"/>
      <c r="D242" s="19"/>
      <c r="E242" s="19"/>
    </row>
    <row r="243" spans="1:5" ht="13.5" customHeight="1">
      <c r="A243" s="19"/>
      <c r="B243" s="19"/>
      <c r="C243" s="19"/>
      <c r="D243" s="19"/>
      <c r="E243" s="19"/>
    </row>
    <row r="244" spans="1:5" ht="13.5" customHeight="1">
      <c r="A244" s="19"/>
      <c r="B244" s="19"/>
      <c r="C244" s="19"/>
      <c r="D244" s="19"/>
      <c r="E244" s="19"/>
    </row>
    <row r="245" spans="1:5" ht="13.5" customHeight="1">
      <c r="A245" s="19"/>
      <c r="B245" s="19"/>
      <c r="C245" s="19"/>
      <c r="D245" s="19"/>
      <c r="E245" s="19"/>
    </row>
    <row r="246" spans="1:5" ht="13.5" customHeight="1">
      <c r="A246" s="19"/>
      <c r="B246" s="19"/>
      <c r="C246" s="19"/>
      <c r="D246" s="19"/>
      <c r="E246" s="19"/>
    </row>
    <row r="247" spans="1:5" ht="13.5" customHeight="1">
      <c r="A247" s="19"/>
      <c r="B247" s="19"/>
      <c r="C247" s="19"/>
      <c r="D247" s="19"/>
      <c r="E247" s="19"/>
    </row>
    <row r="248" spans="1:5" ht="13.5" customHeight="1">
      <c r="A248" s="19"/>
      <c r="B248" s="19"/>
      <c r="C248" s="19"/>
      <c r="D248" s="19"/>
      <c r="E248" s="19"/>
    </row>
    <row r="249" spans="1:5" ht="13.5" customHeight="1">
      <c r="A249" s="19"/>
      <c r="B249" s="19"/>
      <c r="C249" s="19"/>
      <c r="D249" s="19"/>
      <c r="E249" s="19"/>
    </row>
    <row r="250" spans="1:5" ht="13.5" customHeight="1">
      <c r="A250" s="19"/>
      <c r="B250" s="19"/>
      <c r="C250" s="19"/>
      <c r="D250" s="19"/>
      <c r="E250" s="19"/>
    </row>
    <row r="251" spans="1:5" ht="13.5" customHeight="1">
      <c r="A251" s="19"/>
      <c r="B251" s="19"/>
      <c r="C251" s="19"/>
      <c r="D251" s="19"/>
      <c r="E251" s="19"/>
    </row>
    <row r="252" spans="1:5" ht="13.5" customHeight="1">
      <c r="A252" s="19"/>
      <c r="B252" s="19"/>
      <c r="C252" s="19"/>
      <c r="D252" s="19"/>
      <c r="E252" s="19"/>
    </row>
    <row r="253" spans="1:5" ht="13.5" customHeight="1">
      <c r="A253" s="19"/>
      <c r="B253" s="19"/>
      <c r="C253" s="19"/>
      <c r="D253" s="19"/>
      <c r="E253" s="19"/>
    </row>
    <row r="254" spans="1:5" ht="13.5" customHeight="1">
      <c r="A254" s="19"/>
      <c r="B254" s="19"/>
      <c r="C254" s="19"/>
      <c r="D254" s="19"/>
      <c r="E254" s="19"/>
    </row>
    <row r="255" spans="1:5" ht="13.5" customHeight="1">
      <c r="A255" s="19"/>
      <c r="B255" s="19"/>
      <c r="C255" s="19"/>
      <c r="D255" s="19"/>
      <c r="E255" s="19"/>
    </row>
    <row r="256" spans="1:5" ht="13.5" customHeight="1">
      <c r="A256" s="19"/>
      <c r="B256" s="19"/>
      <c r="C256" s="19"/>
      <c r="D256" s="19"/>
      <c r="E256" s="19"/>
    </row>
    <row r="257" spans="1:5" ht="13.5" customHeight="1">
      <c r="A257" s="19"/>
      <c r="B257" s="19"/>
      <c r="C257" s="19"/>
      <c r="D257" s="19"/>
      <c r="E257" s="19"/>
    </row>
    <row r="258" spans="1:5" ht="13.5" customHeight="1">
      <c r="A258" s="19"/>
      <c r="B258" s="19"/>
      <c r="C258" s="19"/>
      <c r="D258" s="19"/>
      <c r="E258" s="19"/>
    </row>
    <row r="259" spans="1:5" ht="13.5" customHeight="1">
      <c r="A259" s="19"/>
      <c r="B259" s="19"/>
      <c r="C259" s="19"/>
      <c r="D259" s="19"/>
      <c r="E259" s="19"/>
    </row>
    <row r="260" spans="1:5" ht="13.5" customHeight="1">
      <c r="A260" s="19"/>
      <c r="B260" s="19"/>
      <c r="C260" s="19"/>
      <c r="D260" s="19"/>
      <c r="E260" s="19"/>
    </row>
    <row r="261" spans="1:5" ht="13.5" customHeight="1">
      <c r="A261" s="19"/>
      <c r="B261" s="19"/>
      <c r="C261" s="19"/>
      <c r="D261" s="19"/>
      <c r="E261" s="19"/>
    </row>
    <row r="262" spans="1:5" ht="13.5" customHeight="1">
      <c r="A262" s="19"/>
      <c r="B262" s="19"/>
      <c r="C262" s="19"/>
      <c r="D262" s="19"/>
      <c r="E262" s="19"/>
    </row>
    <row r="263" spans="1:5" ht="13.5" customHeight="1">
      <c r="A263" s="19"/>
      <c r="B263" s="19"/>
      <c r="C263" s="19"/>
      <c r="D263" s="19"/>
      <c r="E263" s="19"/>
    </row>
    <row r="264" spans="1:5" ht="13.5" customHeight="1">
      <c r="A264" s="19"/>
      <c r="B264" s="19"/>
      <c r="C264" s="19"/>
      <c r="D264" s="19"/>
      <c r="E264" s="19"/>
    </row>
    <row r="265" spans="1:5" ht="13.5" customHeight="1">
      <c r="A265" s="19"/>
      <c r="B265" s="19"/>
      <c r="C265" s="19"/>
      <c r="D265" s="19"/>
      <c r="E265" s="19"/>
    </row>
    <row r="266" spans="1:5" ht="13.5" customHeight="1">
      <c r="A266" s="19"/>
      <c r="B266" s="19"/>
      <c r="C266" s="19"/>
      <c r="D266" s="19"/>
      <c r="E266" s="19"/>
    </row>
    <row r="267" spans="1:5" ht="13.5" customHeight="1">
      <c r="A267" s="19"/>
      <c r="B267" s="19"/>
      <c r="C267" s="19"/>
      <c r="D267" s="19"/>
      <c r="E267" s="19"/>
    </row>
    <row r="268" spans="1:5" ht="13.5" customHeight="1">
      <c r="A268" s="19"/>
      <c r="B268" s="19"/>
      <c r="C268" s="19"/>
      <c r="D268" s="19"/>
      <c r="E268" s="19"/>
    </row>
    <row r="269" spans="1:5" ht="13.5" customHeight="1">
      <c r="A269" s="19"/>
      <c r="B269" s="19"/>
      <c r="C269" s="19"/>
      <c r="D269" s="19"/>
      <c r="E269" s="19"/>
    </row>
    <row r="270" spans="1:5" ht="13.5" customHeight="1">
      <c r="A270" s="19"/>
      <c r="B270" s="19"/>
      <c r="C270" s="19"/>
      <c r="D270" s="19"/>
      <c r="E270" s="19"/>
    </row>
    <row r="271" spans="1:5" ht="13.5" customHeight="1">
      <c r="A271" s="19"/>
      <c r="B271" s="19"/>
      <c r="C271" s="19"/>
      <c r="D271" s="19"/>
      <c r="E271" s="19"/>
    </row>
    <row r="272" spans="1:5" ht="13.5" customHeight="1">
      <c r="A272" s="19"/>
      <c r="B272" s="19"/>
      <c r="C272" s="19"/>
      <c r="D272" s="19"/>
      <c r="E272" s="19"/>
    </row>
    <row r="273" spans="1:5" ht="13.5" customHeight="1">
      <c r="A273" s="19"/>
      <c r="B273" s="19"/>
      <c r="C273" s="19"/>
      <c r="D273" s="19"/>
      <c r="E273" s="19"/>
    </row>
    <row r="274" spans="1:5" ht="13.5" customHeight="1">
      <c r="A274" s="19"/>
      <c r="B274" s="19"/>
      <c r="C274" s="19"/>
      <c r="D274" s="19"/>
      <c r="E274" s="19"/>
    </row>
    <row r="275" spans="1:5" ht="13.5" customHeight="1">
      <c r="A275" s="19"/>
      <c r="B275" s="19"/>
      <c r="C275" s="19"/>
      <c r="D275" s="19"/>
      <c r="E275" s="19"/>
    </row>
    <row r="276" spans="1:5" ht="13.5" customHeight="1">
      <c r="A276" s="19"/>
      <c r="B276" s="19"/>
      <c r="C276" s="19"/>
      <c r="D276" s="19"/>
      <c r="E276" s="19"/>
    </row>
    <row r="277" spans="1:5" ht="13.5" customHeight="1">
      <c r="A277" s="19"/>
      <c r="B277" s="19"/>
      <c r="C277" s="19"/>
      <c r="D277" s="19"/>
      <c r="E277" s="19"/>
    </row>
    <row r="278" spans="1:5" ht="13.5" customHeight="1">
      <c r="A278" s="19"/>
      <c r="B278" s="19"/>
      <c r="C278" s="19"/>
      <c r="D278" s="19"/>
      <c r="E278" s="19"/>
    </row>
    <row r="279" spans="1:5" ht="13.5" customHeight="1">
      <c r="A279" s="19"/>
      <c r="B279" s="19"/>
      <c r="C279" s="19"/>
      <c r="D279" s="19"/>
      <c r="E279" s="19"/>
    </row>
    <row r="280" spans="1:5" ht="13.5" customHeight="1">
      <c r="A280" s="19"/>
      <c r="B280" s="19"/>
      <c r="C280" s="19"/>
      <c r="D280" s="19"/>
      <c r="E280" s="19"/>
    </row>
    <row r="281" spans="1:5" ht="13.5" customHeight="1">
      <c r="A281" s="19"/>
      <c r="B281" s="19"/>
      <c r="C281" s="19"/>
      <c r="D281" s="19"/>
      <c r="E281" s="19"/>
    </row>
    <row r="282" spans="1:5" ht="13.5" customHeight="1">
      <c r="A282" s="19"/>
      <c r="B282" s="19"/>
      <c r="C282" s="19"/>
      <c r="D282" s="19"/>
      <c r="E282" s="19"/>
    </row>
    <row r="283" spans="1:5" ht="13.5" customHeight="1">
      <c r="A283" s="19"/>
      <c r="B283" s="19"/>
      <c r="C283" s="19"/>
      <c r="D283" s="19"/>
      <c r="E283" s="19"/>
    </row>
    <row r="284" spans="1:5" ht="13.5" customHeight="1">
      <c r="A284" s="19"/>
      <c r="B284" s="19"/>
      <c r="C284" s="19"/>
      <c r="D284" s="19"/>
      <c r="E284" s="19"/>
    </row>
    <row r="285" spans="1:5" ht="13.5" customHeight="1">
      <c r="A285" s="19"/>
      <c r="B285" s="19"/>
      <c r="C285" s="19"/>
      <c r="D285" s="19"/>
      <c r="E285" s="19"/>
    </row>
    <row r="286" spans="1:5" ht="13.5" customHeight="1">
      <c r="A286" s="19"/>
      <c r="B286" s="19"/>
      <c r="C286" s="19"/>
      <c r="D286" s="19"/>
      <c r="E286" s="19"/>
    </row>
    <row r="287" spans="1:5" ht="13.5" customHeight="1">
      <c r="A287" s="19"/>
      <c r="B287" s="19"/>
      <c r="C287" s="19"/>
      <c r="D287" s="19"/>
      <c r="E287" s="19"/>
    </row>
    <row r="288" spans="1:5" ht="13.5" customHeight="1">
      <c r="A288" s="19"/>
      <c r="B288" s="19"/>
      <c r="C288" s="19"/>
      <c r="D288" s="19"/>
      <c r="E288" s="19"/>
    </row>
    <row r="289" spans="1:5" ht="13.5" customHeight="1">
      <c r="A289" s="19"/>
      <c r="B289" s="19"/>
      <c r="C289" s="19"/>
      <c r="D289" s="19"/>
      <c r="E289" s="19"/>
    </row>
    <row r="290" spans="1:5" ht="13.5" customHeight="1">
      <c r="A290" s="19"/>
      <c r="B290" s="19"/>
      <c r="C290" s="19"/>
      <c r="D290" s="19"/>
      <c r="E290" s="19"/>
    </row>
    <row r="291" spans="1:5" ht="13.5" customHeight="1">
      <c r="A291" s="19"/>
      <c r="B291" s="19"/>
      <c r="C291" s="19"/>
      <c r="D291" s="19"/>
      <c r="E291" s="19"/>
    </row>
    <row r="292" spans="1:5" ht="13.5" customHeight="1">
      <c r="A292" s="19"/>
      <c r="B292" s="19"/>
      <c r="C292" s="19"/>
      <c r="D292" s="19"/>
      <c r="E292" s="19"/>
    </row>
    <row r="293" spans="1:5" ht="13.5" customHeight="1">
      <c r="A293" s="19"/>
      <c r="B293" s="19"/>
      <c r="C293" s="19"/>
      <c r="D293" s="19"/>
      <c r="E293" s="19"/>
    </row>
    <row r="294" spans="1:5" ht="13.5" customHeight="1">
      <c r="A294" s="19"/>
      <c r="B294" s="19"/>
      <c r="C294" s="19"/>
      <c r="D294" s="19"/>
      <c r="E294" s="19"/>
    </row>
    <row r="295" spans="1:5" ht="13.5" customHeight="1">
      <c r="A295" s="19"/>
      <c r="B295" s="19"/>
      <c r="C295" s="19"/>
      <c r="D295" s="19"/>
      <c r="E295" s="19"/>
    </row>
    <row r="296" spans="1:5" ht="13.5" customHeight="1">
      <c r="A296" s="19"/>
      <c r="B296" s="19"/>
      <c r="C296" s="19"/>
      <c r="D296" s="19"/>
      <c r="E296" s="19"/>
    </row>
    <row r="297" spans="1:5" ht="13.5" customHeight="1">
      <c r="A297" s="19"/>
      <c r="B297" s="19"/>
      <c r="C297" s="19"/>
      <c r="D297" s="19"/>
      <c r="E297" s="19"/>
    </row>
    <row r="298" spans="1:5" ht="13.5" customHeight="1">
      <c r="A298" s="19"/>
      <c r="B298" s="19"/>
      <c r="C298" s="19"/>
      <c r="D298" s="19"/>
      <c r="E298" s="19"/>
    </row>
    <row r="299" spans="1:5" ht="13.5" customHeight="1">
      <c r="A299" s="19"/>
      <c r="B299" s="19"/>
      <c r="C299" s="19"/>
      <c r="D299" s="19"/>
      <c r="E299" s="19"/>
    </row>
    <row r="300" spans="1:5" ht="13.5" customHeight="1">
      <c r="A300" s="19"/>
      <c r="B300" s="19"/>
      <c r="C300" s="19"/>
      <c r="D300" s="19"/>
      <c r="E300" s="19"/>
    </row>
    <row r="301" spans="1:5" ht="13.5" customHeight="1">
      <c r="A301" s="19"/>
      <c r="B301" s="19"/>
      <c r="C301" s="19"/>
      <c r="D301" s="19"/>
      <c r="E301" s="19"/>
    </row>
    <row r="302" spans="1:5" ht="13.5" customHeight="1">
      <c r="A302" s="19"/>
      <c r="B302" s="19"/>
      <c r="C302" s="19"/>
      <c r="D302" s="19"/>
      <c r="E302" s="19"/>
    </row>
    <row r="303" spans="1:5" ht="13.5" customHeight="1">
      <c r="A303" s="19"/>
      <c r="B303" s="19"/>
      <c r="C303" s="19"/>
      <c r="D303" s="19"/>
      <c r="E303" s="19"/>
    </row>
    <row r="304" spans="1:5" ht="13.5" customHeight="1">
      <c r="A304" s="19"/>
      <c r="B304" s="19"/>
      <c r="C304" s="19"/>
      <c r="D304" s="19"/>
      <c r="E304" s="19"/>
    </row>
    <row r="305" spans="1:5" ht="13.5" customHeight="1">
      <c r="A305" s="19"/>
      <c r="B305" s="19"/>
      <c r="C305" s="19"/>
      <c r="D305" s="19"/>
      <c r="E305" s="19"/>
    </row>
    <row r="306" spans="1:5" ht="13.5" customHeight="1">
      <c r="A306" s="19"/>
      <c r="B306" s="19"/>
      <c r="C306" s="19"/>
      <c r="D306" s="19"/>
      <c r="E306" s="19"/>
    </row>
    <row r="307" spans="1:5" ht="13.5" customHeight="1">
      <c r="A307" s="19"/>
      <c r="B307" s="19"/>
      <c r="C307" s="19"/>
      <c r="D307" s="19"/>
      <c r="E307" s="19"/>
    </row>
    <row r="308" spans="1:5" ht="13.5" customHeight="1">
      <c r="A308" s="19"/>
      <c r="B308" s="19"/>
      <c r="C308" s="19"/>
      <c r="D308" s="19"/>
      <c r="E308" s="19"/>
    </row>
    <row r="309" spans="1:5" ht="13.5" customHeight="1">
      <c r="A309" s="19"/>
      <c r="B309" s="19"/>
      <c r="C309" s="19"/>
      <c r="D309" s="19"/>
      <c r="E309" s="19"/>
    </row>
    <row r="310" spans="1:5" ht="13.5" customHeight="1">
      <c r="A310" s="19"/>
      <c r="B310" s="19"/>
      <c r="C310" s="19"/>
      <c r="D310" s="19"/>
      <c r="E310" s="19"/>
    </row>
    <row r="311" spans="1:5" ht="13.5" customHeight="1">
      <c r="A311" s="19"/>
      <c r="B311" s="19"/>
      <c r="C311" s="19"/>
      <c r="D311" s="19"/>
      <c r="E311" s="19"/>
    </row>
    <row r="312" spans="1:5" ht="13.5" customHeight="1">
      <c r="A312" s="19"/>
      <c r="B312" s="19"/>
      <c r="C312" s="19"/>
      <c r="D312" s="19"/>
      <c r="E312" s="19"/>
    </row>
    <row r="313" spans="1:5" ht="13.5" customHeight="1">
      <c r="A313" s="19"/>
      <c r="B313" s="19"/>
      <c r="C313" s="19"/>
      <c r="D313" s="19"/>
      <c r="E313" s="19"/>
    </row>
    <row r="314" spans="1:5" ht="13.5" customHeight="1">
      <c r="A314" s="19"/>
      <c r="B314" s="19"/>
      <c r="C314" s="19"/>
      <c r="D314" s="19"/>
      <c r="E314" s="19"/>
    </row>
    <row r="315" spans="1:5" ht="13.5" customHeight="1">
      <c r="A315" s="19"/>
      <c r="B315" s="19"/>
      <c r="C315" s="19"/>
      <c r="D315" s="19"/>
      <c r="E315" s="19"/>
    </row>
    <row r="316" spans="1:5" ht="13.5" customHeight="1">
      <c r="A316" s="19"/>
      <c r="B316" s="19"/>
      <c r="C316" s="19"/>
      <c r="D316" s="19"/>
      <c r="E316" s="19"/>
    </row>
    <row r="317" spans="1:5" ht="13.5" customHeight="1">
      <c r="A317" s="19"/>
      <c r="B317" s="19"/>
      <c r="C317" s="19"/>
      <c r="D317" s="19"/>
      <c r="E317" s="19"/>
    </row>
    <row r="318" spans="1:5" ht="13.5" customHeight="1">
      <c r="A318" s="19"/>
      <c r="B318" s="19"/>
      <c r="C318" s="19"/>
      <c r="D318" s="19"/>
      <c r="E318" s="19"/>
    </row>
    <row r="319" spans="1:5" ht="13.5" customHeight="1">
      <c r="A319" s="19"/>
      <c r="B319" s="19"/>
      <c r="C319" s="19"/>
      <c r="D319" s="19"/>
      <c r="E319" s="19"/>
    </row>
    <row r="320" spans="1:5" ht="13.5" customHeight="1">
      <c r="A320" s="19"/>
      <c r="B320" s="19"/>
      <c r="C320" s="19"/>
      <c r="D320" s="19"/>
      <c r="E320" s="19"/>
    </row>
    <row r="321" spans="1:5" ht="13.5" customHeight="1">
      <c r="A321" s="19"/>
      <c r="B321" s="19"/>
      <c r="C321" s="19"/>
      <c r="D321" s="19"/>
      <c r="E321" s="19"/>
    </row>
    <row r="322" spans="1:5" ht="13.5" customHeight="1">
      <c r="A322" s="19"/>
      <c r="B322" s="19"/>
      <c r="C322" s="19"/>
      <c r="D322" s="19"/>
      <c r="E322" s="19"/>
    </row>
    <row r="323" spans="1:5" ht="13.5" customHeight="1">
      <c r="A323" s="19"/>
      <c r="B323" s="19"/>
      <c r="C323" s="19"/>
      <c r="D323" s="19"/>
      <c r="E323" s="19"/>
    </row>
    <row r="324" spans="1:5" ht="13.5" customHeight="1">
      <c r="A324" s="19"/>
      <c r="B324" s="19"/>
      <c r="C324" s="19"/>
      <c r="D324" s="19"/>
      <c r="E324" s="19"/>
    </row>
    <row r="325" spans="1:5" ht="13.5" customHeight="1">
      <c r="A325" s="19"/>
      <c r="B325" s="19"/>
      <c r="C325" s="19"/>
      <c r="D325" s="19"/>
      <c r="E325" s="19"/>
    </row>
    <row r="326" spans="1:5" ht="13.5" customHeight="1">
      <c r="A326" s="19"/>
      <c r="B326" s="19"/>
      <c r="C326" s="19"/>
      <c r="D326" s="19"/>
      <c r="E326" s="19"/>
    </row>
    <row r="327" spans="1:5" ht="13.5" customHeight="1">
      <c r="A327" s="19"/>
      <c r="B327" s="19"/>
      <c r="C327" s="19"/>
      <c r="D327" s="19"/>
      <c r="E327" s="19"/>
    </row>
    <row r="328" spans="1:5" ht="13.5" customHeight="1">
      <c r="A328" s="19"/>
      <c r="B328" s="19"/>
      <c r="C328" s="19"/>
      <c r="D328" s="19"/>
      <c r="E328" s="19"/>
    </row>
    <row r="329" spans="1:5" ht="13.5" customHeight="1">
      <c r="A329" s="19"/>
      <c r="B329" s="19"/>
      <c r="C329" s="19"/>
      <c r="D329" s="19"/>
      <c r="E329" s="19"/>
    </row>
    <row r="330" spans="1:5" ht="13.5" customHeight="1">
      <c r="A330" s="19"/>
      <c r="B330" s="19"/>
      <c r="C330" s="19"/>
      <c r="D330" s="19"/>
      <c r="E330" s="19"/>
    </row>
    <row r="331" spans="1:5" ht="13.5" customHeight="1">
      <c r="A331" s="19"/>
      <c r="B331" s="19"/>
      <c r="C331" s="19"/>
      <c r="D331" s="19"/>
      <c r="E331" s="19"/>
    </row>
    <row r="332" spans="1:5" ht="13.5" customHeight="1">
      <c r="A332" s="19"/>
      <c r="B332" s="19"/>
      <c r="C332" s="19"/>
      <c r="D332" s="19"/>
      <c r="E332" s="19"/>
    </row>
    <row r="333" spans="1:5" ht="13.5" customHeight="1">
      <c r="A333" s="19"/>
      <c r="B333" s="19"/>
      <c r="C333" s="19"/>
      <c r="D333" s="19"/>
      <c r="E333" s="19"/>
    </row>
    <row r="334" spans="1:5" ht="13.5" customHeight="1">
      <c r="A334" s="19"/>
      <c r="B334" s="19"/>
      <c r="C334" s="19"/>
      <c r="D334" s="19"/>
      <c r="E334" s="19"/>
    </row>
    <row r="335" spans="1:5" ht="13.5" customHeight="1">
      <c r="A335" s="19"/>
      <c r="B335" s="19"/>
      <c r="C335" s="19"/>
      <c r="D335" s="19"/>
      <c r="E335" s="19"/>
    </row>
    <row r="336" spans="1:5" ht="13.5" customHeight="1">
      <c r="A336" s="19"/>
      <c r="B336" s="19"/>
      <c r="C336" s="19"/>
      <c r="D336" s="19"/>
      <c r="E336" s="19"/>
    </row>
    <row r="337" spans="1:5" ht="13.5" customHeight="1">
      <c r="A337" s="19"/>
      <c r="B337" s="19"/>
      <c r="C337" s="19"/>
      <c r="D337" s="19"/>
      <c r="E337" s="19"/>
    </row>
    <row r="338" spans="1:5" ht="13.5" customHeight="1">
      <c r="A338" s="19"/>
      <c r="B338" s="19"/>
      <c r="C338" s="19"/>
      <c r="D338" s="19"/>
      <c r="E338" s="19"/>
    </row>
    <row r="339" spans="1:5" ht="13.5" customHeight="1">
      <c r="A339" s="19"/>
      <c r="B339" s="19"/>
      <c r="C339" s="19"/>
      <c r="D339" s="19"/>
      <c r="E339" s="19"/>
    </row>
    <row r="340" spans="1:5" ht="13.5" customHeight="1">
      <c r="A340" s="19"/>
      <c r="B340" s="19"/>
      <c r="C340" s="19"/>
      <c r="D340" s="19"/>
      <c r="E340" s="19"/>
    </row>
    <row r="341" spans="1:5" ht="13.5" customHeight="1">
      <c r="A341" s="19"/>
      <c r="B341" s="19"/>
      <c r="C341" s="19"/>
      <c r="D341" s="19"/>
      <c r="E341" s="19"/>
    </row>
    <row r="342" spans="1:5" ht="13.5" customHeight="1">
      <c r="A342" s="19"/>
      <c r="B342" s="19"/>
      <c r="C342" s="19"/>
      <c r="D342" s="19"/>
      <c r="E342" s="19"/>
    </row>
    <row r="343" spans="1:5" ht="13.5" customHeight="1">
      <c r="A343" s="19"/>
      <c r="B343" s="19"/>
      <c r="C343" s="19"/>
      <c r="D343" s="19"/>
      <c r="E343" s="19"/>
    </row>
    <row r="344" spans="1:5" ht="13.5" customHeight="1">
      <c r="A344" s="19"/>
      <c r="B344" s="19"/>
      <c r="C344" s="19"/>
      <c r="D344" s="19"/>
      <c r="E344" s="19"/>
    </row>
    <row r="345" spans="1:5" ht="13.5" customHeight="1">
      <c r="A345" s="19"/>
      <c r="B345" s="19"/>
      <c r="C345" s="19"/>
      <c r="D345" s="19"/>
      <c r="E345" s="19"/>
    </row>
    <row r="346" spans="1:5" ht="13.5" customHeight="1">
      <c r="A346" s="19"/>
      <c r="B346" s="19"/>
      <c r="C346" s="19"/>
      <c r="D346" s="19"/>
      <c r="E346" s="19"/>
    </row>
    <row r="347" spans="1:5" ht="13.5" customHeight="1">
      <c r="A347" s="19"/>
      <c r="B347" s="19"/>
      <c r="C347" s="19"/>
      <c r="D347" s="19"/>
      <c r="E347" s="19"/>
    </row>
    <row r="348" spans="1:5" ht="13.5" customHeight="1">
      <c r="A348" s="19"/>
      <c r="B348" s="19"/>
      <c r="C348" s="19"/>
      <c r="D348" s="19"/>
      <c r="E348" s="19"/>
    </row>
    <row r="349" spans="1:5" ht="13.5" customHeight="1">
      <c r="A349" s="19"/>
      <c r="B349" s="19"/>
      <c r="C349" s="19"/>
      <c r="D349" s="19"/>
      <c r="E349" s="19"/>
    </row>
    <row r="350" spans="1:5" ht="13.5" customHeight="1">
      <c r="A350" s="19"/>
      <c r="B350" s="19"/>
      <c r="C350" s="19"/>
      <c r="D350" s="19"/>
      <c r="E350" s="19"/>
    </row>
    <row r="351" spans="1:5" ht="13.5" customHeight="1">
      <c r="A351" s="19"/>
      <c r="B351" s="19"/>
      <c r="C351" s="19"/>
      <c r="D351" s="19"/>
      <c r="E351" s="19"/>
    </row>
    <row r="352" spans="1:5" ht="13.5" customHeight="1">
      <c r="A352" s="19"/>
      <c r="B352" s="19"/>
      <c r="C352" s="19"/>
      <c r="D352" s="19"/>
      <c r="E352" s="19"/>
    </row>
    <row r="353" spans="1:5" ht="13.5" customHeight="1">
      <c r="A353" s="19"/>
      <c r="B353" s="19"/>
      <c r="C353" s="19"/>
      <c r="D353" s="19"/>
      <c r="E353" s="19"/>
    </row>
    <row r="354" spans="1:5" ht="13.5" customHeight="1">
      <c r="A354" s="19"/>
      <c r="B354" s="19"/>
      <c r="C354" s="19"/>
      <c r="D354" s="19"/>
      <c r="E354" s="19"/>
    </row>
    <row r="355" spans="1:5" ht="13.5" customHeight="1">
      <c r="A355" s="19"/>
      <c r="B355" s="19"/>
      <c r="C355" s="19"/>
      <c r="D355" s="19"/>
      <c r="E355" s="19"/>
    </row>
    <row r="356" spans="1:5" ht="13.5" customHeight="1">
      <c r="A356" s="19"/>
      <c r="B356" s="19"/>
      <c r="C356" s="19"/>
      <c r="D356" s="19"/>
      <c r="E356" s="19"/>
    </row>
    <row r="357" spans="1:5" ht="13.5" customHeight="1">
      <c r="A357" s="19"/>
      <c r="B357" s="19"/>
      <c r="C357" s="19"/>
      <c r="D357" s="19"/>
      <c r="E357" s="19"/>
    </row>
    <row r="358" spans="1:5" ht="13.5" customHeight="1">
      <c r="A358" s="19"/>
      <c r="B358" s="19"/>
      <c r="C358" s="19"/>
      <c r="D358" s="19"/>
      <c r="E358" s="19"/>
    </row>
    <row r="359" spans="1:5" ht="13.5" customHeight="1">
      <c r="A359" s="19"/>
      <c r="B359" s="19"/>
      <c r="C359" s="19"/>
      <c r="D359" s="19"/>
      <c r="E359" s="19"/>
    </row>
    <row r="360" spans="1:5" ht="13.5" customHeight="1">
      <c r="A360" s="19"/>
      <c r="B360" s="19"/>
      <c r="C360" s="19"/>
      <c r="D360" s="19"/>
      <c r="E360" s="19"/>
    </row>
    <row r="361" spans="1:5" ht="13.5" customHeight="1">
      <c r="A361" s="19"/>
      <c r="B361" s="19"/>
      <c r="C361" s="19"/>
      <c r="D361" s="19"/>
      <c r="E361" s="19"/>
    </row>
    <row r="362" spans="1:5" ht="13.5" customHeight="1">
      <c r="A362" s="19"/>
      <c r="B362" s="19"/>
      <c r="C362" s="19"/>
      <c r="D362" s="19"/>
      <c r="E362" s="19"/>
    </row>
    <row r="363" spans="1:5" ht="13.5" customHeight="1">
      <c r="A363" s="19"/>
      <c r="B363" s="19"/>
      <c r="C363" s="19"/>
      <c r="D363" s="19"/>
      <c r="E363" s="19"/>
    </row>
    <row r="364" spans="1:5" ht="13.5" customHeight="1">
      <c r="A364" s="19"/>
      <c r="B364" s="19"/>
      <c r="C364" s="19"/>
      <c r="D364" s="19"/>
      <c r="E364" s="19"/>
    </row>
    <row r="365" spans="1:5" ht="13.5" customHeight="1">
      <c r="A365" s="19"/>
      <c r="B365" s="19"/>
      <c r="C365" s="19"/>
      <c r="D365" s="19"/>
      <c r="E365" s="19"/>
    </row>
    <row r="366" spans="1:5" ht="13.5" customHeight="1">
      <c r="A366" s="19"/>
      <c r="B366" s="19"/>
      <c r="C366" s="19"/>
      <c r="D366" s="19"/>
      <c r="E366" s="19"/>
    </row>
    <row r="367" spans="1:5" ht="13.5" customHeight="1">
      <c r="A367" s="19"/>
      <c r="B367" s="19"/>
      <c r="C367" s="19"/>
      <c r="D367" s="19"/>
      <c r="E367" s="19"/>
    </row>
    <row r="368" spans="1:5" ht="13.5" customHeight="1">
      <c r="A368" s="19"/>
      <c r="B368" s="19"/>
      <c r="C368" s="19"/>
      <c r="D368" s="19"/>
      <c r="E368" s="19"/>
    </row>
    <row r="369" spans="1:5" ht="13.5" customHeight="1">
      <c r="A369" s="19"/>
      <c r="B369" s="19"/>
      <c r="C369" s="19"/>
      <c r="D369" s="19"/>
      <c r="E369" s="19"/>
    </row>
    <row r="370" spans="1:5" ht="13.5" customHeight="1">
      <c r="A370" s="19"/>
      <c r="B370" s="19"/>
      <c r="C370" s="19"/>
      <c r="D370" s="19"/>
      <c r="E370" s="19"/>
    </row>
    <row r="371" spans="1:5" ht="13.5" customHeight="1">
      <c r="A371" s="19"/>
      <c r="B371" s="19"/>
      <c r="C371" s="19"/>
      <c r="D371" s="19"/>
      <c r="E371" s="19"/>
    </row>
    <row r="372" spans="1:5" ht="13.5" customHeight="1">
      <c r="A372" s="19"/>
      <c r="B372" s="19"/>
      <c r="C372" s="19"/>
      <c r="D372" s="19"/>
      <c r="E372" s="19"/>
    </row>
    <row r="373" spans="1:5" ht="13.5" customHeight="1">
      <c r="A373" s="19"/>
      <c r="B373" s="19"/>
      <c r="C373" s="19"/>
      <c r="D373" s="19"/>
      <c r="E373" s="19"/>
    </row>
    <row r="374" spans="1:5" ht="13.5" customHeight="1">
      <c r="A374" s="19"/>
      <c r="B374" s="19"/>
      <c r="C374" s="19"/>
      <c r="D374" s="19"/>
      <c r="E374" s="19"/>
    </row>
    <row r="375" spans="1:5" ht="13.5" customHeight="1">
      <c r="A375" s="19"/>
      <c r="B375" s="19"/>
      <c r="C375" s="19"/>
      <c r="D375" s="19"/>
      <c r="E375" s="19"/>
    </row>
    <row r="376" spans="1:5" ht="13.5" customHeight="1">
      <c r="A376" s="19"/>
      <c r="B376" s="19"/>
      <c r="C376" s="19"/>
      <c r="D376" s="19"/>
      <c r="E376" s="19"/>
    </row>
    <row r="377" spans="1:5" ht="13.5" customHeight="1">
      <c r="A377" s="19"/>
      <c r="B377" s="19"/>
      <c r="C377" s="19"/>
      <c r="D377" s="19"/>
      <c r="E377" s="19"/>
    </row>
    <row r="378" spans="1:5" ht="13.5" customHeight="1">
      <c r="A378" s="19"/>
      <c r="B378" s="19"/>
      <c r="C378" s="19"/>
      <c r="D378" s="19"/>
      <c r="E378" s="19"/>
    </row>
    <row r="379" spans="1:5" ht="13.5" customHeight="1">
      <c r="A379" s="19"/>
      <c r="B379" s="19"/>
      <c r="C379" s="19"/>
      <c r="D379" s="19"/>
      <c r="E379" s="19"/>
    </row>
    <row r="380" spans="1:5" ht="13.5" customHeight="1">
      <c r="A380" s="19"/>
      <c r="B380" s="19"/>
      <c r="C380" s="19"/>
      <c r="D380" s="19"/>
      <c r="E380" s="19"/>
    </row>
    <row r="381" spans="1:5" ht="13.5" customHeight="1">
      <c r="A381" s="19"/>
      <c r="B381" s="19"/>
      <c r="C381" s="19"/>
      <c r="D381" s="19"/>
      <c r="E381" s="19"/>
    </row>
    <row r="382" spans="1:5" ht="13.5" customHeight="1">
      <c r="A382" s="19"/>
      <c r="B382" s="19"/>
      <c r="C382" s="19"/>
      <c r="D382" s="19"/>
      <c r="E382" s="19"/>
    </row>
    <row r="383" spans="1:5" ht="13.5" customHeight="1">
      <c r="A383" s="19"/>
      <c r="B383" s="19"/>
      <c r="C383" s="19"/>
      <c r="D383" s="19"/>
      <c r="E383" s="19"/>
    </row>
    <row r="384" spans="1:5" ht="13.5" customHeight="1">
      <c r="A384" s="19"/>
      <c r="B384" s="19"/>
      <c r="C384" s="19"/>
      <c r="D384" s="19"/>
      <c r="E384" s="19"/>
    </row>
    <row r="385" spans="1:5" ht="13.5" customHeight="1">
      <c r="A385" s="19"/>
      <c r="B385" s="19"/>
      <c r="C385" s="19"/>
      <c r="D385" s="19"/>
      <c r="E385" s="19"/>
    </row>
    <row r="386" spans="1:5" ht="13.5" customHeight="1">
      <c r="A386" s="19"/>
      <c r="B386" s="19"/>
      <c r="C386" s="19"/>
      <c r="D386" s="19"/>
      <c r="E386" s="19"/>
    </row>
    <row r="387" spans="1:5" ht="13.5" customHeight="1">
      <c r="A387" s="19"/>
      <c r="B387" s="19"/>
      <c r="C387" s="19"/>
      <c r="D387" s="19"/>
      <c r="E387" s="19"/>
    </row>
    <row r="388" spans="1:5" ht="13.5" customHeight="1">
      <c r="A388" s="19"/>
      <c r="B388" s="19"/>
      <c r="C388" s="19"/>
      <c r="D388" s="19"/>
      <c r="E388" s="19"/>
    </row>
    <row r="389" spans="1:5" ht="13.5" customHeight="1">
      <c r="A389" s="19"/>
      <c r="B389" s="19"/>
      <c r="C389" s="19"/>
      <c r="D389" s="19"/>
      <c r="E389" s="19"/>
    </row>
    <row r="390" spans="1:5" ht="13.5" customHeight="1">
      <c r="A390" s="19"/>
      <c r="B390" s="19"/>
      <c r="C390" s="19"/>
      <c r="D390" s="19"/>
      <c r="E390" s="19"/>
    </row>
    <row r="391" spans="1:5" ht="13.5" customHeight="1">
      <c r="A391" s="19"/>
      <c r="B391" s="19"/>
      <c r="C391" s="19"/>
      <c r="D391" s="19"/>
      <c r="E391" s="19"/>
    </row>
    <row r="392" spans="1:5" ht="13.5" customHeight="1">
      <c r="A392" s="19"/>
      <c r="B392" s="19"/>
      <c r="C392" s="19"/>
      <c r="D392" s="19"/>
      <c r="E392" s="19"/>
    </row>
    <row r="393" spans="1:5" ht="13.5" customHeight="1">
      <c r="A393" s="19"/>
      <c r="B393" s="19"/>
      <c r="C393" s="19"/>
      <c r="D393" s="19"/>
      <c r="E393" s="19"/>
    </row>
    <row r="394" spans="1:5" ht="13.5" customHeight="1">
      <c r="A394" s="19"/>
      <c r="B394" s="19"/>
      <c r="C394" s="19"/>
      <c r="D394" s="19"/>
      <c r="E394" s="19"/>
    </row>
    <row r="395" spans="1:5" ht="13.5" customHeight="1">
      <c r="A395" s="19"/>
      <c r="B395" s="19"/>
      <c r="C395" s="19"/>
      <c r="D395" s="19"/>
      <c r="E395" s="19"/>
    </row>
    <row r="396" spans="1:5" ht="13.5" customHeight="1">
      <c r="A396" s="19"/>
      <c r="B396" s="19"/>
      <c r="C396" s="19"/>
      <c r="D396" s="19"/>
      <c r="E396" s="19"/>
    </row>
    <row r="397" spans="1:5" ht="13.5" customHeight="1">
      <c r="A397" s="19"/>
      <c r="B397" s="19"/>
      <c r="C397" s="19"/>
      <c r="D397" s="19"/>
      <c r="E397" s="19"/>
    </row>
    <row r="398" spans="1:5" ht="13.5" customHeight="1">
      <c r="A398" s="19"/>
      <c r="B398" s="19"/>
      <c r="C398" s="19"/>
      <c r="D398" s="19"/>
      <c r="E398" s="19"/>
    </row>
    <row r="399" spans="1:5" ht="13.5" customHeight="1">
      <c r="A399" s="19"/>
      <c r="B399" s="19"/>
      <c r="C399" s="19"/>
      <c r="D399" s="19"/>
      <c r="E399" s="19"/>
    </row>
    <row r="400" spans="1:5" ht="13.5" customHeight="1">
      <c r="A400" s="19"/>
      <c r="B400" s="19"/>
      <c r="C400" s="19"/>
      <c r="D400" s="19"/>
      <c r="E400" s="19"/>
    </row>
    <row r="401" spans="1:5" ht="13.5" customHeight="1">
      <c r="A401" s="19"/>
      <c r="B401" s="19"/>
      <c r="C401" s="19"/>
      <c r="D401" s="19"/>
      <c r="E401" s="19"/>
    </row>
    <row r="402" spans="1:5" ht="13.5" customHeight="1">
      <c r="A402" s="19"/>
      <c r="B402" s="19"/>
      <c r="C402" s="19"/>
      <c r="D402" s="19"/>
      <c r="E402" s="19"/>
    </row>
    <row r="403" spans="1:5" ht="13.5" customHeight="1">
      <c r="A403" s="19"/>
      <c r="B403" s="19"/>
      <c r="C403" s="19"/>
      <c r="D403" s="19"/>
      <c r="E403" s="19"/>
    </row>
    <row r="404" spans="1:5" ht="13.5" customHeight="1">
      <c r="A404" s="19"/>
      <c r="B404" s="19"/>
      <c r="C404" s="19"/>
      <c r="D404" s="19"/>
      <c r="E404" s="19"/>
    </row>
    <row r="405" spans="1:5" ht="13.5" customHeight="1">
      <c r="A405" s="19"/>
      <c r="B405" s="19"/>
      <c r="C405" s="19"/>
      <c r="D405" s="19"/>
      <c r="E405" s="19"/>
    </row>
    <row r="406" spans="1:5" ht="13.5" customHeight="1">
      <c r="A406" s="19"/>
      <c r="B406" s="19"/>
      <c r="C406" s="19"/>
      <c r="D406" s="19"/>
      <c r="E406" s="19"/>
    </row>
    <row r="407" spans="1:5" ht="13.5" customHeight="1">
      <c r="A407" s="19"/>
      <c r="B407" s="19"/>
      <c r="C407" s="19"/>
      <c r="D407" s="19"/>
      <c r="E407" s="19"/>
    </row>
    <row r="408" spans="1:5" ht="13.5" customHeight="1">
      <c r="A408" s="19"/>
      <c r="B408" s="19"/>
      <c r="C408" s="19"/>
      <c r="D408" s="19"/>
      <c r="E408" s="19"/>
    </row>
    <row r="409" spans="1:5" ht="13.5" customHeight="1">
      <c r="A409" s="19"/>
      <c r="B409" s="19"/>
      <c r="C409" s="19"/>
      <c r="D409" s="19"/>
      <c r="E409" s="19"/>
    </row>
    <row r="410" spans="1:5" ht="13.5" customHeight="1">
      <c r="A410" s="19"/>
      <c r="B410" s="19"/>
      <c r="C410" s="19"/>
      <c r="D410" s="19"/>
      <c r="E410" s="19"/>
    </row>
    <row r="411" spans="1:5" ht="13.5" customHeight="1">
      <c r="A411" s="19"/>
      <c r="B411" s="19"/>
      <c r="C411" s="19"/>
      <c r="D411" s="19"/>
      <c r="E411" s="19"/>
    </row>
    <row r="412" spans="1:5" ht="13.5" customHeight="1">
      <c r="A412" s="19"/>
      <c r="B412" s="19"/>
      <c r="C412" s="19"/>
      <c r="D412" s="19"/>
      <c r="E412" s="19"/>
    </row>
    <row r="413" spans="1:5" ht="13.5" customHeight="1">
      <c r="A413" s="19"/>
      <c r="B413" s="19"/>
      <c r="C413" s="19"/>
      <c r="D413" s="19"/>
      <c r="E413" s="19"/>
    </row>
    <row r="414" spans="1:5" ht="13.5" customHeight="1">
      <c r="A414" s="19"/>
      <c r="B414" s="19"/>
      <c r="C414" s="19"/>
      <c r="D414" s="19"/>
      <c r="E414" s="19"/>
    </row>
    <row r="415" spans="1:5" ht="13.5" customHeight="1">
      <c r="A415" s="19"/>
      <c r="B415" s="19"/>
      <c r="C415" s="19"/>
      <c r="D415" s="19"/>
      <c r="E415" s="19"/>
    </row>
    <row r="416" spans="1:5" ht="13.5" customHeight="1">
      <c r="A416" s="19"/>
      <c r="B416" s="19"/>
      <c r="C416" s="19"/>
      <c r="D416" s="19"/>
      <c r="E416" s="19"/>
    </row>
    <row r="417" spans="1:5" ht="13.5" customHeight="1">
      <c r="A417" s="19"/>
      <c r="B417" s="19"/>
      <c r="C417" s="19"/>
      <c r="D417" s="19"/>
      <c r="E417" s="19"/>
    </row>
    <row r="418" spans="1:5" ht="13.5" customHeight="1">
      <c r="A418" s="19"/>
      <c r="B418" s="19"/>
      <c r="C418" s="19"/>
      <c r="D418" s="19"/>
      <c r="E418" s="19"/>
    </row>
    <row r="419" spans="1:5" ht="13.5" customHeight="1">
      <c r="A419" s="19"/>
      <c r="B419" s="19"/>
      <c r="C419" s="19"/>
      <c r="D419" s="19"/>
      <c r="E419" s="19"/>
    </row>
    <row r="420" spans="1:5" ht="13.5" customHeight="1">
      <c r="A420" s="19"/>
      <c r="B420" s="19"/>
      <c r="C420" s="19"/>
      <c r="D420" s="19"/>
      <c r="E420" s="19"/>
    </row>
    <row r="421" spans="1:5" ht="13.5" customHeight="1">
      <c r="A421" s="19"/>
      <c r="B421" s="19"/>
      <c r="C421" s="19"/>
      <c r="D421" s="19"/>
      <c r="E421" s="19"/>
    </row>
    <row r="422" spans="1:5" ht="13.5" customHeight="1">
      <c r="A422" s="19"/>
      <c r="B422" s="19"/>
      <c r="C422" s="19"/>
      <c r="D422" s="19"/>
      <c r="E422" s="19"/>
    </row>
    <row r="423" spans="1:5" ht="13.5" customHeight="1">
      <c r="A423" s="19"/>
      <c r="B423" s="19"/>
      <c r="C423" s="19"/>
      <c r="D423" s="19"/>
      <c r="E423" s="19"/>
    </row>
    <row r="424" spans="1:5" ht="13.5" customHeight="1">
      <c r="A424" s="19"/>
      <c r="B424" s="19"/>
      <c r="C424" s="19"/>
      <c r="D424" s="19"/>
      <c r="E424" s="19"/>
    </row>
    <row r="425" spans="1:5" ht="13.5" customHeight="1">
      <c r="A425" s="19"/>
      <c r="B425" s="19"/>
      <c r="C425" s="19"/>
      <c r="D425" s="19"/>
      <c r="E425" s="19"/>
    </row>
    <row r="426" spans="1:5" ht="13.5" customHeight="1">
      <c r="A426" s="19"/>
      <c r="B426" s="19"/>
      <c r="C426" s="19"/>
      <c r="D426" s="19"/>
      <c r="E426" s="19"/>
    </row>
    <row r="427" spans="1:5" ht="13.5" customHeight="1">
      <c r="A427" s="19"/>
      <c r="B427" s="19"/>
      <c r="C427" s="19"/>
      <c r="D427" s="19"/>
      <c r="E427" s="19"/>
    </row>
    <row r="428" spans="1:5" ht="13.5" customHeight="1">
      <c r="A428" s="19"/>
      <c r="B428" s="19"/>
      <c r="C428" s="19"/>
      <c r="D428" s="19"/>
      <c r="E428" s="19"/>
    </row>
    <row r="429" spans="1:5" ht="13.5" customHeight="1">
      <c r="A429" s="19"/>
      <c r="B429" s="19"/>
      <c r="C429" s="19"/>
      <c r="D429" s="19"/>
      <c r="E429" s="19"/>
    </row>
    <row r="430" spans="1:5" ht="13.5" customHeight="1">
      <c r="A430" s="19"/>
      <c r="B430" s="19"/>
      <c r="C430" s="19"/>
      <c r="D430" s="19"/>
      <c r="E430" s="19"/>
    </row>
    <row r="431" spans="1:5" ht="13.5" customHeight="1">
      <c r="A431" s="19"/>
      <c r="B431" s="19"/>
      <c r="C431" s="19"/>
      <c r="D431" s="19"/>
      <c r="E431" s="19"/>
    </row>
    <row r="432" spans="1:5" ht="13.5" customHeight="1">
      <c r="A432" s="19"/>
      <c r="B432" s="19"/>
      <c r="C432" s="19"/>
      <c r="D432" s="19"/>
      <c r="E432" s="19"/>
    </row>
    <row r="433" spans="1:5" ht="13.5" customHeight="1">
      <c r="A433" s="19"/>
      <c r="B433" s="19"/>
      <c r="C433" s="19"/>
      <c r="D433" s="19"/>
      <c r="E433" s="19"/>
    </row>
    <row r="434" spans="1:5" ht="13.5" customHeight="1">
      <c r="A434" s="19"/>
      <c r="B434" s="19"/>
      <c r="C434" s="19"/>
      <c r="D434" s="19"/>
      <c r="E434" s="19"/>
    </row>
    <row r="435" spans="1:5" ht="13.5" customHeight="1">
      <c r="A435" s="19"/>
      <c r="B435" s="19"/>
      <c r="C435" s="19"/>
      <c r="D435" s="19"/>
      <c r="E435" s="19"/>
    </row>
    <row r="436" spans="1:5" ht="13.5" customHeight="1">
      <c r="A436" s="19"/>
      <c r="B436" s="19"/>
      <c r="C436" s="19"/>
      <c r="D436" s="19"/>
      <c r="E436" s="19"/>
    </row>
    <row r="437" spans="1:5" ht="13.5" customHeight="1">
      <c r="A437" s="19"/>
      <c r="B437" s="19"/>
      <c r="C437" s="19"/>
      <c r="D437" s="19"/>
      <c r="E437" s="19"/>
    </row>
    <row r="438" spans="1:5" ht="13.5" customHeight="1">
      <c r="A438" s="19"/>
      <c r="B438" s="19"/>
      <c r="C438" s="19"/>
      <c r="D438" s="19"/>
      <c r="E438" s="19"/>
    </row>
    <row r="439" spans="1:5" ht="13.5" customHeight="1">
      <c r="A439" s="19"/>
      <c r="B439" s="19"/>
      <c r="C439" s="19"/>
      <c r="D439" s="19"/>
      <c r="E439" s="19"/>
    </row>
    <row r="440" spans="1:5" ht="13.5" customHeight="1">
      <c r="A440" s="19"/>
      <c r="B440" s="19"/>
      <c r="C440" s="19"/>
      <c r="D440" s="19"/>
      <c r="E440" s="19"/>
    </row>
    <row r="441" spans="1:5" ht="13.5" customHeight="1">
      <c r="A441" s="19"/>
      <c r="B441" s="19"/>
      <c r="C441" s="19"/>
      <c r="D441" s="19"/>
      <c r="E441" s="19"/>
    </row>
    <row r="442" spans="1:5" ht="13.5" customHeight="1">
      <c r="A442" s="19"/>
      <c r="B442" s="19"/>
      <c r="C442" s="19"/>
      <c r="D442" s="19"/>
      <c r="E442" s="19"/>
    </row>
    <row r="443" spans="1:5" ht="13.5" customHeight="1">
      <c r="A443" s="19"/>
      <c r="B443" s="19"/>
      <c r="C443" s="19"/>
      <c r="D443" s="19"/>
      <c r="E443" s="19"/>
    </row>
    <row r="444" spans="1:5" ht="13.5" customHeight="1">
      <c r="A444" s="19"/>
      <c r="B444" s="19"/>
      <c r="C444" s="19"/>
      <c r="D444" s="19"/>
      <c r="E444" s="19"/>
    </row>
    <row r="445" spans="1:5" ht="13.5" customHeight="1">
      <c r="A445" s="19"/>
      <c r="B445" s="19"/>
      <c r="C445" s="19"/>
      <c r="D445" s="19"/>
      <c r="E445" s="19"/>
    </row>
    <row r="446" spans="1:5" ht="13.5" customHeight="1">
      <c r="A446" s="19"/>
      <c r="B446" s="19"/>
      <c r="C446" s="19"/>
      <c r="D446" s="19"/>
      <c r="E446" s="19"/>
    </row>
    <row r="447" spans="1:5" ht="13.5" customHeight="1">
      <c r="A447" s="19"/>
      <c r="B447" s="19"/>
      <c r="C447" s="19"/>
      <c r="D447" s="19"/>
      <c r="E447" s="19"/>
    </row>
    <row r="448" spans="1:5" ht="13.5" customHeight="1">
      <c r="A448" s="19"/>
      <c r="B448" s="19"/>
      <c r="C448" s="19"/>
      <c r="D448" s="19"/>
      <c r="E448" s="19"/>
    </row>
    <row r="449" spans="1:5" ht="13.5" customHeight="1">
      <c r="A449" s="19"/>
      <c r="B449" s="19"/>
      <c r="C449" s="19"/>
      <c r="D449" s="19"/>
      <c r="E449" s="19"/>
    </row>
    <row r="450" spans="1:5" ht="13.5" customHeight="1">
      <c r="A450" s="19"/>
      <c r="B450" s="19"/>
      <c r="C450" s="19"/>
      <c r="D450" s="19"/>
      <c r="E450" s="19"/>
    </row>
    <row r="451" spans="1:5" ht="13.5" customHeight="1">
      <c r="A451" s="19"/>
      <c r="B451" s="19"/>
      <c r="C451" s="19"/>
      <c r="D451" s="19"/>
      <c r="E451" s="19"/>
    </row>
    <row r="452" spans="1:5" ht="13.5" customHeight="1">
      <c r="A452" s="19"/>
      <c r="B452" s="19"/>
      <c r="C452" s="19"/>
      <c r="D452" s="19"/>
      <c r="E452" s="19"/>
    </row>
    <row r="453" spans="1:5" ht="13.5" customHeight="1">
      <c r="A453" s="19"/>
      <c r="B453" s="19"/>
      <c r="C453" s="19"/>
      <c r="D453" s="19"/>
      <c r="E453" s="19"/>
    </row>
    <row r="454" spans="1:5" ht="13.5" customHeight="1">
      <c r="A454" s="19"/>
      <c r="B454" s="19"/>
      <c r="C454" s="19"/>
      <c r="D454" s="19"/>
      <c r="E454" s="19"/>
    </row>
    <row r="455" spans="1:5" ht="13.5" customHeight="1">
      <c r="A455" s="19"/>
      <c r="B455" s="19"/>
      <c r="C455" s="19"/>
      <c r="D455" s="19"/>
      <c r="E455" s="19"/>
    </row>
    <row r="456" spans="1:5" ht="13.5" customHeight="1">
      <c r="A456" s="19"/>
      <c r="B456" s="19"/>
      <c r="C456" s="19"/>
      <c r="D456" s="19"/>
      <c r="E456" s="19"/>
    </row>
    <row r="457" spans="1:5" ht="13.5" customHeight="1">
      <c r="A457" s="19"/>
      <c r="B457" s="19"/>
      <c r="C457" s="19"/>
      <c r="D457" s="19"/>
      <c r="E457" s="19"/>
    </row>
    <row r="458" spans="1:5" ht="13.5" customHeight="1">
      <c r="A458" s="19"/>
      <c r="B458" s="19"/>
      <c r="C458" s="19"/>
      <c r="D458" s="19"/>
      <c r="E458" s="19"/>
    </row>
    <row r="459" spans="1:5" ht="13.5" customHeight="1">
      <c r="A459" s="19"/>
      <c r="B459" s="19"/>
      <c r="C459" s="19"/>
      <c r="D459" s="19"/>
      <c r="E459" s="19"/>
    </row>
    <row r="460" spans="1:5" ht="13.5" customHeight="1">
      <c r="A460" s="19"/>
      <c r="B460" s="19"/>
      <c r="C460" s="19"/>
      <c r="D460" s="19"/>
      <c r="E460" s="19"/>
    </row>
    <row r="461" spans="1:5" ht="13.5" customHeight="1">
      <c r="A461" s="19"/>
      <c r="B461" s="19"/>
      <c r="C461" s="19"/>
      <c r="D461" s="19"/>
      <c r="E461" s="19"/>
    </row>
    <row r="462" spans="1:5" ht="13.5" customHeight="1">
      <c r="A462" s="19"/>
      <c r="B462" s="19"/>
      <c r="C462" s="19"/>
      <c r="D462" s="19"/>
      <c r="E462" s="19"/>
    </row>
    <row r="463" spans="1:5" ht="13.5" customHeight="1">
      <c r="A463" s="19"/>
      <c r="B463" s="19"/>
      <c r="C463" s="19"/>
      <c r="D463" s="19"/>
      <c r="E463" s="19"/>
    </row>
    <row r="464" spans="1:5" ht="13.5" customHeight="1">
      <c r="A464" s="19"/>
      <c r="B464" s="19"/>
      <c r="C464" s="19"/>
      <c r="D464" s="19"/>
      <c r="E464" s="19"/>
    </row>
    <row r="465" spans="1:5" ht="13.5" customHeight="1">
      <c r="A465" s="19"/>
      <c r="B465" s="19"/>
      <c r="C465" s="19"/>
      <c r="D465" s="19"/>
      <c r="E465" s="19"/>
    </row>
    <row r="466" spans="1:5" ht="13.5" customHeight="1">
      <c r="A466" s="19"/>
      <c r="B466" s="19"/>
      <c r="C466" s="19"/>
      <c r="D466" s="19"/>
      <c r="E466" s="19"/>
    </row>
    <row r="467" spans="1:5" ht="13.5" customHeight="1">
      <c r="A467" s="19"/>
      <c r="B467" s="19"/>
      <c r="C467" s="19"/>
      <c r="D467" s="19"/>
      <c r="E467" s="19"/>
    </row>
    <row r="468" spans="1:5" ht="13.5" customHeight="1">
      <c r="A468" s="19"/>
      <c r="B468" s="19"/>
      <c r="C468" s="19"/>
      <c r="D468" s="19"/>
      <c r="E468" s="19"/>
    </row>
    <row r="469" spans="1:5" ht="13.5" customHeight="1">
      <c r="A469" s="19"/>
      <c r="B469" s="19"/>
      <c r="C469" s="19"/>
      <c r="D469" s="19"/>
      <c r="E469" s="19"/>
    </row>
    <row r="470" spans="1:5" ht="13.5" customHeight="1">
      <c r="A470" s="19"/>
      <c r="B470" s="19"/>
      <c r="C470" s="19"/>
      <c r="D470" s="19"/>
      <c r="E470" s="19"/>
    </row>
    <row r="471" spans="1:5" ht="13.5" customHeight="1">
      <c r="A471" s="19"/>
      <c r="B471" s="19"/>
      <c r="C471" s="19"/>
      <c r="D471" s="19"/>
      <c r="E471" s="19"/>
    </row>
    <row r="472" spans="1:5" ht="13.5" customHeight="1">
      <c r="A472" s="19"/>
      <c r="B472" s="19"/>
      <c r="C472" s="19"/>
      <c r="D472" s="19"/>
      <c r="E472" s="19"/>
    </row>
    <row r="473" spans="1:5" ht="13.5" customHeight="1">
      <c r="A473" s="19"/>
      <c r="B473" s="19"/>
      <c r="C473" s="19"/>
      <c r="D473" s="19"/>
      <c r="E473" s="19"/>
    </row>
    <row r="474" spans="1:5" ht="13.5" customHeight="1">
      <c r="A474" s="19"/>
      <c r="B474" s="19"/>
      <c r="C474" s="19"/>
      <c r="D474" s="19"/>
      <c r="E474" s="19"/>
    </row>
    <row r="475" spans="1:5" ht="13.5" customHeight="1">
      <c r="A475" s="19"/>
      <c r="B475" s="19"/>
      <c r="C475" s="19"/>
      <c r="D475" s="19"/>
      <c r="E475" s="19"/>
    </row>
    <row r="476" spans="1:5" ht="13.5" customHeight="1">
      <c r="A476" s="19"/>
      <c r="B476" s="19"/>
      <c r="C476" s="19"/>
      <c r="D476" s="19"/>
      <c r="E476" s="19"/>
    </row>
    <row r="477" spans="1:5" ht="13.5" customHeight="1">
      <c r="A477" s="19"/>
      <c r="B477" s="19"/>
      <c r="C477" s="19"/>
      <c r="D477" s="19"/>
      <c r="E477" s="19"/>
    </row>
    <row r="478" spans="1:5" ht="13.5" customHeight="1">
      <c r="A478" s="19"/>
      <c r="B478" s="19"/>
      <c r="C478" s="19"/>
      <c r="D478" s="19"/>
      <c r="E478" s="19"/>
    </row>
    <row r="479" spans="1:5" ht="13.5" customHeight="1">
      <c r="A479" s="19"/>
      <c r="B479" s="19"/>
      <c r="C479" s="19"/>
      <c r="D479" s="19"/>
      <c r="E479" s="19"/>
    </row>
    <row r="480" spans="1:5" ht="13.5" customHeight="1">
      <c r="A480" s="19"/>
      <c r="B480" s="19"/>
      <c r="C480" s="19"/>
      <c r="D480" s="19"/>
      <c r="E480" s="19"/>
    </row>
    <row r="481" spans="1:5" ht="13.5" customHeight="1">
      <c r="A481" s="19"/>
      <c r="B481" s="19"/>
      <c r="C481" s="19"/>
      <c r="D481" s="19"/>
      <c r="E481" s="19"/>
    </row>
    <row r="482" spans="1:5" ht="13.5" customHeight="1">
      <c r="A482" s="19"/>
      <c r="B482" s="19"/>
      <c r="C482" s="19"/>
      <c r="D482" s="19"/>
      <c r="E482" s="19"/>
    </row>
    <row r="483" spans="1:5" ht="13.5" customHeight="1">
      <c r="A483" s="19"/>
      <c r="B483" s="19"/>
      <c r="C483" s="19"/>
      <c r="D483" s="19"/>
      <c r="E483" s="19"/>
    </row>
    <row r="484" spans="1:5" ht="13.5" customHeight="1">
      <c r="A484" s="19"/>
      <c r="B484" s="19"/>
      <c r="C484" s="19"/>
      <c r="D484" s="19"/>
      <c r="E484" s="19"/>
    </row>
    <row r="485" spans="1:5" ht="13.5" customHeight="1">
      <c r="A485" s="19"/>
      <c r="B485" s="19"/>
      <c r="C485" s="19"/>
      <c r="D485" s="19"/>
      <c r="E485" s="19"/>
    </row>
    <row r="486" spans="1:5" ht="13.5" customHeight="1">
      <c r="A486" s="19"/>
      <c r="B486" s="19"/>
      <c r="C486" s="19"/>
      <c r="D486" s="19"/>
      <c r="E486" s="19"/>
    </row>
    <row r="487" spans="1:5" ht="13.5" customHeight="1">
      <c r="A487" s="19"/>
      <c r="B487" s="19"/>
      <c r="C487" s="19"/>
      <c r="D487" s="19"/>
      <c r="E487" s="19"/>
    </row>
    <row r="488" spans="1:5" ht="13.5" customHeight="1">
      <c r="A488" s="19"/>
      <c r="B488" s="19"/>
      <c r="C488" s="19"/>
      <c r="D488" s="19"/>
      <c r="E488" s="19"/>
    </row>
    <row r="489" spans="1:5" ht="13.5" customHeight="1">
      <c r="A489" s="19"/>
      <c r="B489" s="19"/>
      <c r="C489" s="19"/>
      <c r="D489" s="19"/>
      <c r="E489" s="19"/>
    </row>
    <row r="490" spans="1:5" ht="13.5" customHeight="1">
      <c r="A490" s="19"/>
      <c r="B490" s="19"/>
      <c r="C490" s="19"/>
      <c r="D490" s="19"/>
      <c r="E490" s="19"/>
    </row>
    <row r="491" spans="1:5" ht="13.5" customHeight="1">
      <c r="A491" s="19"/>
      <c r="B491" s="19"/>
      <c r="C491" s="19"/>
      <c r="D491" s="19"/>
      <c r="E491" s="19"/>
    </row>
    <row r="492" spans="1:5" ht="13.5" customHeight="1">
      <c r="A492" s="19"/>
      <c r="B492" s="19"/>
      <c r="C492" s="19"/>
      <c r="D492" s="19"/>
      <c r="E492" s="19"/>
    </row>
    <row r="493" spans="1:5" ht="13.5" customHeight="1">
      <c r="A493" s="19"/>
      <c r="B493" s="19"/>
      <c r="C493" s="19"/>
      <c r="D493" s="19"/>
      <c r="E493" s="19"/>
    </row>
    <row r="494" spans="1:5" ht="13.5" customHeight="1">
      <c r="A494" s="19"/>
      <c r="B494" s="19"/>
      <c r="C494" s="19"/>
      <c r="D494" s="19"/>
      <c r="E494" s="19"/>
    </row>
    <row r="495" spans="1:5" ht="13.5" customHeight="1">
      <c r="A495" s="19"/>
      <c r="B495" s="19"/>
      <c r="C495" s="19"/>
      <c r="D495" s="19"/>
      <c r="E495" s="19"/>
    </row>
    <row r="496" spans="1:5" ht="13.5" customHeight="1">
      <c r="A496" s="19"/>
      <c r="B496" s="19"/>
      <c r="C496" s="19"/>
      <c r="D496" s="19"/>
      <c r="E496" s="19"/>
    </row>
    <row r="497" spans="1:5" ht="13.5" customHeight="1">
      <c r="A497" s="19"/>
      <c r="B497" s="19"/>
      <c r="C497" s="19"/>
      <c r="D497" s="19"/>
      <c r="E497" s="19"/>
    </row>
    <row r="498" spans="1:5" ht="13.5" customHeight="1">
      <c r="A498" s="19"/>
      <c r="B498" s="19"/>
      <c r="C498" s="19"/>
      <c r="D498" s="19"/>
      <c r="E498" s="19"/>
    </row>
    <row r="499" spans="1:5" ht="13.5" customHeight="1">
      <c r="A499" s="19"/>
      <c r="B499" s="19"/>
      <c r="C499" s="19"/>
      <c r="D499" s="19"/>
      <c r="E499" s="19"/>
    </row>
    <row r="500" spans="1:5" ht="13.5" customHeight="1">
      <c r="A500" s="19"/>
      <c r="B500" s="19"/>
      <c r="C500" s="19"/>
      <c r="D500" s="19"/>
      <c r="E500" s="19"/>
    </row>
    <row r="501" spans="1:5" ht="13.5" customHeight="1">
      <c r="A501" s="19"/>
      <c r="B501" s="19"/>
      <c r="C501" s="19"/>
      <c r="D501" s="19"/>
      <c r="E501" s="19"/>
    </row>
    <row r="502" spans="1:5" ht="13.5" customHeight="1">
      <c r="A502" s="19"/>
      <c r="B502" s="19"/>
      <c r="C502" s="19"/>
      <c r="D502" s="19"/>
      <c r="E502" s="19"/>
    </row>
    <row r="503" spans="1:5" ht="13.5" customHeight="1">
      <c r="A503" s="19"/>
      <c r="B503" s="19"/>
      <c r="C503" s="19"/>
      <c r="D503" s="19"/>
      <c r="E503" s="19"/>
    </row>
    <row r="504" spans="1:5" ht="13.5" customHeight="1">
      <c r="A504" s="19"/>
      <c r="B504" s="19"/>
      <c r="C504" s="19"/>
      <c r="D504" s="19"/>
      <c r="E504" s="19"/>
    </row>
    <row r="505" spans="1:5" ht="13.5" customHeight="1">
      <c r="A505" s="19"/>
      <c r="B505" s="19"/>
      <c r="C505" s="19"/>
      <c r="D505" s="19"/>
      <c r="E505" s="19"/>
    </row>
    <row r="506" spans="1:5" ht="13.5" customHeight="1">
      <c r="A506" s="19"/>
      <c r="B506" s="19"/>
      <c r="C506" s="19"/>
      <c r="D506" s="19"/>
      <c r="E506" s="19"/>
    </row>
    <row r="507" spans="1:5" ht="13.5" customHeight="1">
      <c r="A507" s="19"/>
      <c r="B507" s="19"/>
      <c r="C507" s="19"/>
      <c r="D507" s="19"/>
      <c r="E507" s="19"/>
    </row>
    <row r="508" spans="1:5" ht="13.5" customHeight="1">
      <c r="A508" s="19"/>
      <c r="B508" s="19"/>
      <c r="C508" s="19"/>
      <c r="D508" s="19"/>
      <c r="E508" s="19"/>
    </row>
    <row r="509" spans="1:5" ht="13.5" customHeight="1">
      <c r="A509" s="19"/>
      <c r="B509" s="19"/>
      <c r="C509" s="19"/>
      <c r="D509" s="19"/>
      <c r="E509" s="19"/>
    </row>
    <row r="510" spans="1:5" ht="13.5" customHeight="1">
      <c r="A510" s="19"/>
      <c r="B510" s="19"/>
      <c r="C510" s="19"/>
      <c r="D510" s="19"/>
      <c r="E510" s="19"/>
    </row>
    <row r="511" spans="1:5" ht="13.5" customHeight="1">
      <c r="A511" s="19"/>
      <c r="B511" s="19"/>
      <c r="C511" s="19"/>
      <c r="D511" s="19"/>
      <c r="E511" s="19"/>
    </row>
    <row r="512" spans="1:5" ht="13.5" customHeight="1">
      <c r="A512" s="19"/>
      <c r="B512" s="19"/>
      <c r="C512" s="19"/>
      <c r="D512" s="19"/>
      <c r="E512" s="19"/>
    </row>
    <row r="513" spans="1:5" ht="13.5" customHeight="1">
      <c r="A513" s="19"/>
      <c r="B513" s="19"/>
      <c r="C513" s="19"/>
      <c r="D513" s="19"/>
      <c r="E513" s="19"/>
    </row>
    <row r="514" spans="1:5" ht="13.5" customHeight="1">
      <c r="A514" s="19"/>
      <c r="B514" s="19"/>
      <c r="C514" s="19"/>
      <c r="D514" s="19"/>
      <c r="E514" s="19"/>
    </row>
    <row r="515" spans="1:5" ht="13.5" customHeight="1">
      <c r="A515" s="19"/>
      <c r="B515" s="19"/>
      <c r="C515" s="19"/>
      <c r="D515" s="19"/>
      <c r="E515" s="19"/>
    </row>
    <row r="516" spans="1:5" ht="13.5" customHeight="1">
      <c r="A516" s="19"/>
      <c r="B516" s="19"/>
      <c r="C516" s="19"/>
      <c r="D516" s="19"/>
      <c r="E516" s="19"/>
    </row>
    <row r="517" spans="1:5" ht="13.5" customHeight="1">
      <c r="A517" s="19"/>
      <c r="B517" s="19"/>
      <c r="C517" s="19"/>
      <c r="D517" s="19"/>
      <c r="E517" s="19"/>
    </row>
    <row r="518" spans="1:5" ht="13.5" customHeight="1">
      <c r="A518" s="19"/>
      <c r="B518" s="19"/>
      <c r="C518" s="19"/>
      <c r="D518" s="19"/>
      <c r="E518" s="19"/>
    </row>
    <row r="519" spans="1:5" ht="13.5" customHeight="1">
      <c r="A519" s="19"/>
      <c r="B519" s="19"/>
      <c r="C519" s="19"/>
      <c r="D519" s="19"/>
      <c r="E519" s="19"/>
    </row>
    <row r="520" spans="1:5" ht="13.5" customHeight="1">
      <c r="A520" s="19"/>
      <c r="B520" s="19"/>
      <c r="C520" s="19"/>
      <c r="D520" s="19"/>
      <c r="E520" s="19"/>
    </row>
    <row r="521" spans="1:5" ht="13.5" customHeight="1">
      <c r="A521" s="19"/>
      <c r="B521" s="19"/>
      <c r="C521" s="19"/>
      <c r="D521" s="19"/>
      <c r="E521" s="19"/>
    </row>
    <row r="522" spans="1:5" ht="13.5" customHeight="1">
      <c r="A522" s="19"/>
      <c r="B522" s="19"/>
      <c r="C522" s="19"/>
      <c r="D522" s="19"/>
      <c r="E522" s="19"/>
    </row>
    <row r="523" spans="1:5" ht="13.5" customHeight="1">
      <c r="A523" s="19"/>
      <c r="B523" s="19"/>
      <c r="C523" s="19"/>
      <c r="D523" s="19"/>
      <c r="E523" s="19"/>
    </row>
    <row r="524" spans="1:5" ht="13.5" customHeight="1">
      <c r="A524" s="19"/>
      <c r="B524" s="19"/>
      <c r="C524" s="19"/>
      <c r="D524" s="19"/>
      <c r="E524" s="19"/>
    </row>
    <row r="525" spans="1:5" ht="13.5" customHeight="1">
      <c r="A525" s="19"/>
      <c r="B525" s="19"/>
      <c r="C525" s="19"/>
      <c r="D525" s="19"/>
      <c r="E525" s="19"/>
    </row>
    <row r="526" spans="1:5" ht="13.5" customHeight="1">
      <c r="A526" s="19"/>
      <c r="B526" s="19"/>
      <c r="C526" s="19"/>
      <c r="D526" s="19"/>
      <c r="E526" s="19"/>
    </row>
    <row r="527" spans="1:5" ht="13.5" customHeight="1">
      <c r="A527" s="19"/>
      <c r="B527" s="19"/>
      <c r="C527" s="19"/>
      <c r="D527" s="19"/>
      <c r="E527" s="19"/>
    </row>
    <row r="528" spans="1:5" ht="13.5" customHeight="1">
      <c r="A528" s="19"/>
      <c r="B528" s="19"/>
      <c r="C528" s="19"/>
      <c r="D528" s="19"/>
      <c r="E528" s="19"/>
    </row>
    <row r="529" spans="1:5" ht="13.5" customHeight="1">
      <c r="A529" s="19"/>
      <c r="B529" s="19"/>
      <c r="C529" s="19"/>
      <c r="D529" s="19"/>
      <c r="E529" s="19"/>
    </row>
    <row r="530" spans="1:5" ht="13.5" customHeight="1">
      <c r="A530" s="19"/>
      <c r="B530" s="19"/>
      <c r="C530" s="19"/>
      <c r="D530" s="19"/>
      <c r="E530" s="19"/>
    </row>
    <row r="531" spans="1:5" ht="13.5" customHeight="1">
      <c r="A531" s="19"/>
      <c r="B531" s="19"/>
      <c r="C531" s="19"/>
      <c r="D531" s="19"/>
      <c r="E531" s="19"/>
    </row>
    <row r="532" spans="1:5" ht="13.5" customHeight="1">
      <c r="A532" s="19"/>
      <c r="B532" s="19"/>
      <c r="C532" s="19"/>
      <c r="D532" s="19"/>
      <c r="E532" s="19"/>
    </row>
    <row r="533" spans="1:5" ht="13.5" customHeight="1">
      <c r="A533" s="19"/>
      <c r="B533" s="19"/>
      <c r="C533" s="19"/>
      <c r="D533" s="19"/>
      <c r="E533" s="19"/>
    </row>
    <row r="534" spans="1:5" ht="13.5" customHeight="1">
      <c r="A534" s="19"/>
      <c r="B534" s="19"/>
      <c r="C534" s="19"/>
      <c r="D534" s="19"/>
      <c r="E534" s="19"/>
    </row>
    <row r="535" spans="1:5" ht="13.5" customHeight="1">
      <c r="A535" s="19"/>
      <c r="B535" s="19"/>
      <c r="C535" s="19"/>
      <c r="D535" s="19"/>
      <c r="E535" s="19"/>
    </row>
    <row r="536" spans="1:5" ht="13.5" customHeight="1">
      <c r="A536" s="19"/>
      <c r="B536" s="19"/>
      <c r="C536" s="19"/>
      <c r="D536" s="19"/>
      <c r="E536" s="19"/>
    </row>
    <row r="537" spans="1:5" ht="13.5" customHeight="1">
      <c r="A537" s="19"/>
      <c r="B537" s="19"/>
      <c r="C537" s="19"/>
      <c r="D537" s="19"/>
      <c r="E537" s="19"/>
    </row>
    <row r="538" spans="1:5" ht="13.5" customHeight="1">
      <c r="A538" s="19"/>
      <c r="B538" s="19"/>
      <c r="C538" s="19"/>
      <c r="D538" s="19"/>
      <c r="E538" s="19"/>
    </row>
    <row r="539" spans="1:5" ht="13.5" customHeight="1">
      <c r="A539" s="19"/>
      <c r="B539" s="19"/>
      <c r="C539" s="19"/>
      <c r="D539" s="19"/>
      <c r="E539" s="19"/>
    </row>
    <row r="540" spans="1:5" ht="13.5" customHeight="1">
      <c r="A540" s="19"/>
      <c r="B540" s="19"/>
      <c r="C540" s="19"/>
      <c r="D540" s="19"/>
      <c r="E540" s="19"/>
    </row>
    <row r="541" spans="1:5" ht="13.5" customHeight="1">
      <c r="A541" s="19"/>
      <c r="B541" s="19"/>
      <c r="C541" s="19"/>
      <c r="D541" s="19"/>
      <c r="E541" s="19"/>
    </row>
    <row r="542" spans="1:5" ht="13.5" customHeight="1">
      <c r="A542" s="19"/>
      <c r="B542" s="19"/>
      <c r="C542" s="19"/>
      <c r="D542" s="19"/>
      <c r="E542" s="19"/>
    </row>
    <row r="543" spans="1:5" ht="13.5" customHeight="1">
      <c r="A543" s="19"/>
      <c r="B543" s="19"/>
      <c r="C543" s="19"/>
      <c r="D543" s="19"/>
      <c r="E543" s="19"/>
    </row>
    <row r="544" spans="1:5" ht="13.5" customHeight="1">
      <c r="A544" s="19"/>
      <c r="B544" s="19"/>
      <c r="C544" s="19"/>
      <c r="D544" s="19"/>
      <c r="E544" s="19"/>
    </row>
    <row r="545" spans="1:5" ht="13.5" customHeight="1">
      <c r="A545" s="19"/>
      <c r="B545" s="19"/>
      <c r="C545" s="19"/>
      <c r="D545" s="19"/>
      <c r="E545" s="19"/>
    </row>
    <row r="546" spans="1:5" ht="13.5" customHeight="1">
      <c r="A546" s="19"/>
      <c r="B546" s="19"/>
      <c r="C546" s="19"/>
      <c r="D546" s="19"/>
      <c r="E546" s="19"/>
    </row>
    <row r="547" spans="1:5" ht="13.5" customHeight="1">
      <c r="A547" s="19"/>
      <c r="B547" s="19"/>
      <c r="C547" s="19"/>
      <c r="D547" s="19"/>
      <c r="E547" s="19"/>
    </row>
    <row r="548" spans="1:5" ht="13.5" customHeight="1">
      <c r="A548" s="19"/>
      <c r="B548" s="19"/>
      <c r="C548" s="19"/>
      <c r="D548" s="19"/>
      <c r="E548" s="19"/>
    </row>
    <row r="549" spans="1:5" ht="13.5" customHeight="1">
      <c r="A549" s="19"/>
      <c r="B549" s="19"/>
      <c r="C549" s="19"/>
      <c r="D549" s="19"/>
      <c r="E549" s="19"/>
    </row>
    <row r="550" spans="1:5" ht="13.5" customHeight="1">
      <c r="A550" s="19"/>
      <c r="B550" s="19"/>
      <c r="C550" s="19"/>
      <c r="D550" s="19"/>
      <c r="E550" s="19"/>
    </row>
    <row r="551" spans="1:5" ht="13.5" customHeight="1">
      <c r="A551" s="19"/>
      <c r="B551" s="19"/>
      <c r="C551" s="19"/>
      <c r="D551" s="19"/>
      <c r="E551" s="19"/>
    </row>
    <row r="552" spans="1:5" ht="13.5" customHeight="1">
      <c r="A552" s="19"/>
      <c r="B552" s="19"/>
      <c r="C552" s="19"/>
      <c r="D552" s="19"/>
      <c r="E552" s="19"/>
    </row>
    <row r="553" spans="1:5" ht="13.5" customHeight="1">
      <c r="A553" s="19"/>
      <c r="B553" s="19"/>
      <c r="C553" s="19"/>
      <c r="D553" s="19"/>
      <c r="E553" s="19"/>
    </row>
    <row r="554" spans="1:5" ht="13.5" customHeight="1">
      <c r="A554" s="19"/>
      <c r="B554" s="19"/>
      <c r="C554" s="19"/>
      <c r="D554" s="19"/>
      <c r="E554" s="19"/>
    </row>
    <row r="555" spans="1:5" ht="13.5" customHeight="1">
      <c r="A555" s="19"/>
      <c r="B555" s="19"/>
      <c r="C555" s="19"/>
      <c r="D555" s="19"/>
      <c r="E555" s="19"/>
    </row>
    <row r="556" spans="1:5" ht="13.5" customHeight="1">
      <c r="A556" s="19"/>
      <c r="B556" s="19"/>
      <c r="C556" s="19"/>
      <c r="D556" s="19"/>
      <c r="E556" s="19"/>
    </row>
    <row r="557" spans="1:5" ht="13.5" customHeight="1">
      <c r="A557" s="19"/>
      <c r="B557" s="19"/>
      <c r="C557" s="19"/>
      <c r="D557" s="19"/>
      <c r="E557" s="19"/>
    </row>
    <row r="558" spans="1:5" ht="13.5" customHeight="1">
      <c r="A558" s="19"/>
      <c r="B558" s="19"/>
      <c r="C558" s="19"/>
      <c r="D558" s="19"/>
      <c r="E558" s="19"/>
    </row>
    <row r="559" spans="1:5" ht="13.5" customHeight="1">
      <c r="A559" s="19"/>
      <c r="B559" s="19"/>
      <c r="C559" s="19"/>
      <c r="D559" s="19"/>
      <c r="E559" s="19"/>
    </row>
    <row r="560" spans="1:5" ht="13.5" customHeight="1">
      <c r="A560" s="19"/>
      <c r="B560" s="19"/>
      <c r="C560" s="19"/>
      <c r="D560" s="19"/>
      <c r="E560" s="19"/>
    </row>
    <row r="561" spans="1:5" ht="13.5" customHeight="1">
      <c r="A561" s="19"/>
      <c r="B561" s="19"/>
      <c r="C561" s="19"/>
      <c r="D561" s="19"/>
      <c r="E561" s="19"/>
    </row>
    <row r="562" spans="1:5" ht="13.5" customHeight="1">
      <c r="A562" s="19"/>
      <c r="B562" s="19"/>
      <c r="C562" s="19"/>
      <c r="D562" s="19"/>
      <c r="E562" s="19"/>
    </row>
    <row r="563" spans="1:5" ht="13.5" customHeight="1">
      <c r="A563" s="19"/>
      <c r="B563" s="19"/>
      <c r="C563" s="19"/>
      <c r="D563" s="19"/>
      <c r="E563" s="19"/>
    </row>
    <row r="564" spans="1:5" ht="13.5" customHeight="1">
      <c r="A564" s="19"/>
      <c r="B564" s="19"/>
      <c r="C564" s="19"/>
      <c r="D564" s="19"/>
      <c r="E564" s="19"/>
    </row>
    <row r="565" spans="1:5" ht="13.5" customHeight="1">
      <c r="A565" s="19"/>
      <c r="B565" s="19"/>
      <c r="C565" s="19"/>
      <c r="D565" s="19"/>
      <c r="E565" s="19"/>
    </row>
    <row r="566" spans="1:5" ht="13.5" customHeight="1">
      <c r="A566" s="19"/>
      <c r="B566" s="19"/>
      <c r="C566" s="19"/>
      <c r="D566" s="19"/>
      <c r="E566" s="19"/>
    </row>
    <row r="567" spans="1:5" ht="13.5" customHeight="1">
      <c r="A567" s="19"/>
      <c r="B567" s="19"/>
      <c r="C567" s="19"/>
      <c r="D567" s="19"/>
      <c r="E567" s="19"/>
    </row>
    <row r="568" spans="1:5" ht="13.5" customHeight="1">
      <c r="A568" s="19"/>
      <c r="B568" s="19"/>
      <c r="C568" s="19"/>
      <c r="D568" s="19"/>
      <c r="E568" s="19"/>
    </row>
    <row r="569" spans="1:5" ht="13.5" customHeight="1">
      <c r="A569" s="19"/>
      <c r="B569" s="19"/>
      <c r="C569" s="19"/>
      <c r="D569" s="19"/>
      <c r="E569" s="19"/>
    </row>
    <row r="570" spans="1:5" ht="13.5" customHeight="1">
      <c r="A570" s="19"/>
      <c r="B570" s="19"/>
      <c r="C570" s="19"/>
      <c r="D570" s="19"/>
      <c r="E570" s="19"/>
    </row>
    <row r="571" spans="1:5" ht="13.5" customHeight="1">
      <c r="A571" s="19"/>
      <c r="B571" s="19"/>
      <c r="C571" s="19"/>
      <c r="D571" s="19"/>
      <c r="E571" s="19"/>
    </row>
    <row r="572" spans="1:5" ht="13.5" customHeight="1">
      <c r="A572" s="19"/>
      <c r="B572" s="19"/>
      <c r="C572" s="19"/>
      <c r="D572" s="19"/>
      <c r="E572" s="19"/>
    </row>
    <row r="573" spans="1:5" ht="13.5" customHeight="1">
      <c r="A573" s="19"/>
      <c r="B573" s="19"/>
      <c r="C573" s="19"/>
      <c r="D573" s="19"/>
      <c r="E573" s="19"/>
    </row>
    <row r="574" spans="1:5" ht="13.5" customHeight="1">
      <c r="A574" s="19"/>
      <c r="B574" s="19"/>
      <c r="C574" s="19"/>
      <c r="D574" s="19"/>
      <c r="E574" s="19"/>
    </row>
    <row r="575" spans="1:5" ht="13.5" customHeight="1">
      <c r="A575" s="19"/>
      <c r="B575" s="19"/>
      <c r="C575" s="19"/>
      <c r="D575" s="19"/>
      <c r="E575" s="19"/>
    </row>
    <row r="576" spans="1:5" ht="13.5" customHeight="1">
      <c r="A576" s="19"/>
      <c r="B576" s="19"/>
      <c r="C576" s="19"/>
      <c r="D576" s="19"/>
      <c r="E576" s="19"/>
    </row>
    <row r="577" spans="1:5" ht="13.5" customHeight="1">
      <c r="A577" s="19"/>
      <c r="B577" s="19"/>
      <c r="C577" s="19"/>
      <c r="D577" s="19"/>
      <c r="E577" s="19"/>
    </row>
    <row r="578" spans="1:5" ht="13.5" customHeight="1">
      <c r="A578" s="19"/>
      <c r="B578" s="19"/>
      <c r="C578" s="19"/>
      <c r="D578" s="19"/>
      <c r="E578" s="19"/>
    </row>
    <row r="579" spans="1:5" ht="13.5" customHeight="1">
      <c r="A579" s="19"/>
      <c r="B579" s="19"/>
      <c r="C579" s="19"/>
      <c r="D579" s="19"/>
      <c r="E579" s="19"/>
    </row>
    <row r="580" spans="1:5" ht="13.5" customHeight="1">
      <c r="A580" s="19"/>
      <c r="B580" s="19"/>
      <c r="C580" s="19"/>
      <c r="D580" s="19"/>
      <c r="E580" s="19"/>
    </row>
    <row r="581" spans="1:5" ht="13.5" customHeight="1">
      <c r="A581" s="19"/>
      <c r="B581" s="19"/>
      <c r="C581" s="19"/>
      <c r="D581" s="19"/>
      <c r="E581" s="19"/>
    </row>
    <row r="582" spans="1:5" ht="13.5" customHeight="1">
      <c r="A582" s="19"/>
      <c r="B582" s="19"/>
      <c r="C582" s="19"/>
      <c r="D582" s="19"/>
      <c r="E582" s="19"/>
    </row>
    <row r="583" spans="1:5" ht="13.5" customHeight="1">
      <c r="A583" s="19"/>
      <c r="B583" s="19"/>
      <c r="C583" s="19"/>
      <c r="D583" s="19"/>
      <c r="E583" s="19"/>
    </row>
    <row r="584" spans="1:5" ht="13.5" customHeight="1">
      <c r="A584" s="19"/>
      <c r="B584" s="19"/>
      <c r="C584" s="19"/>
      <c r="D584" s="19"/>
      <c r="E584" s="19"/>
    </row>
    <row r="585" spans="1:5" ht="13.5" customHeight="1">
      <c r="A585" s="19"/>
      <c r="B585" s="19"/>
      <c r="C585" s="19"/>
      <c r="D585" s="19"/>
      <c r="E585" s="19"/>
    </row>
    <row r="586" spans="1:5" ht="13.5" customHeight="1">
      <c r="A586" s="19"/>
      <c r="B586" s="19"/>
      <c r="C586" s="19"/>
      <c r="D586" s="19"/>
      <c r="E586" s="19"/>
    </row>
    <row r="587" spans="1:5" ht="13.5" customHeight="1">
      <c r="A587" s="19"/>
      <c r="B587" s="19"/>
      <c r="C587" s="19"/>
      <c r="D587" s="19"/>
      <c r="E587" s="19"/>
    </row>
    <row r="588" spans="1:5" ht="13.5" customHeight="1">
      <c r="A588" s="19"/>
      <c r="B588" s="19"/>
      <c r="C588" s="19"/>
      <c r="D588" s="19"/>
      <c r="E588" s="19"/>
    </row>
    <row r="589" spans="1:5" ht="13.5" customHeight="1">
      <c r="A589" s="19"/>
      <c r="B589" s="19"/>
      <c r="C589" s="19"/>
      <c r="D589" s="19"/>
      <c r="E589" s="19"/>
    </row>
    <row r="590" spans="1:5" ht="13.5" customHeight="1">
      <c r="A590" s="19"/>
      <c r="B590" s="19"/>
      <c r="C590" s="19"/>
      <c r="D590" s="19"/>
      <c r="E590" s="19"/>
    </row>
    <row r="591" spans="1:5" ht="13.5" customHeight="1">
      <c r="A591" s="19"/>
      <c r="B591" s="19"/>
      <c r="C591" s="19"/>
      <c r="D591" s="19"/>
      <c r="E591" s="19"/>
    </row>
    <row r="592" spans="1:5" ht="13.5" customHeight="1">
      <c r="A592" s="19"/>
      <c r="B592" s="19"/>
      <c r="C592" s="19"/>
      <c r="D592" s="19"/>
      <c r="E592" s="19"/>
    </row>
    <row r="593" spans="1:5" ht="13.5" customHeight="1">
      <c r="A593" s="19"/>
      <c r="B593" s="19"/>
      <c r="C593" s="19"/>
      <c r="D593" s="19"/>
      <c r="E593" s="19"/>
    </row>
    <row r="594" spans="1:5" ht="13.5" customHeight="1">
      <c r="A594" s="19"/>
      <c r="B594" s="19"/>
      <c r="C594" s="19"/>
      <c r="D594" s="19"/>
      <c r="E594" s="19"/>
    </row>
    <row r="595" spans="1:5" ht="13.5" customHeight="1">
      <c r="A595" s="19"/>
      <c r="B595" s="19"/>
      <c r="C595" s="19"/>
      <c r="D595" s="19"/>
      <c r="E595" s="19"/>
    </row>
    <row r="596" spans="1:5" ht="13.5" customHeight="1">
      <c r="A596" s="19"/>
      <c r="B596" s="19"/>
      <c r="C596" s="19"/>
      <c r="D596" s="19"/>
      <c r="E596" s="19"/>
    </row>
    <row r="597" spans="1:5" ht="13.5" customHeight="1">
      <c r="A597" s="19"/>
      <c r="B597" s="19"/>
      <c r="C597" s="19"/>
      <c r="D597" s="19"/>
      <c r="E597" s="19"/>
    </row>
    <row r="598" spans="1:5" ht="13.5" customHeight="1">
      <c r="A598" s="19"/>
      <c r="B598" s="19"/>
      <c r="C598" s="19"/>
      <c r="D598" s="19"/>
      <c r="E598" s="19"/>
    </row>
    <row r="599" spans="1:5" ht="13.5" customHeight="1">
      <c r="A599" s="19"/>
      <c r="B599" s="19"/>
      <c r="C599" s="19"/>
      <c r="D599" s="19"/>
      <c r="E599" s="19"/>
    </row>
    <row r="600" spans="1:5" ht="13.5" customHeight="1">
      <c r="A600" s="19"/>
      <c r="B600" s="19"/>
      <c r="C600" s="19"/>
      <c r="D600" s="19"/>
      <c r="E600" s="19"/>
    </row>
    <row r="601" spans="1:5" ht="13.5" customHeight="1">
      <c r="A601" s="19"/>
      <c r="B601" s="19"/>
      <c r="C601" s="19"/>
      <c r="D601" s="19"/>
      <c r="E601" s="19"/>
    </row>
    <row r="602" spans="1:5" ht="13.5" customHeight="1">
      <c r="A602" s="19"/>
      <c r="B602" s="19"/>
      <c r="C602" s="19"/>
      <c r="D602" s="19"/>
      <c r="E602" s="19"/>
    </row>
    <row r="603" spans="1:5" ht="13.5" customHeight="1">
      <c r="A603" s="19"/>
      <c r="B603" s="19"/>
      <c r="C603" s="19"/>
      <c r="D603" s="19"/>
      <c r="E603" s="19"/>
    </row>
    <row r="604" spans="1:5" ht="13.5" customHeight="1">
      <c r="A604" s="19"/>
      <c r="B604" s="19"/>
      <c r="C604" s="19"/>
      <c r="D604" s="19"/>
      <c r="E604" s="19"/>
    </row>
    <row r="605" spans="1:5" ht="13.5" customHeight="1">
      <c r="A605" s="19"/>
      <c r="B605" s="19"/>
      <c r="C605" s="19"/>
      <c r="D605" s="19"/>
      <c r="E605" s="19"/>
    </row>
    <row r="606" spans="1:5" ht="13.5" customHeight="1">
      <c r="A606" s="19"/>
      <c r="B606" s="19"/>
      <c r="C606" s="19"/>
      <c r="D606" s="19"/>
      <c r="E606" s="19"/>
    </row>
    <row r="607" spans="1:5" ht="13.5" customHeight="1">
      <c r="A607" s="19"/>
      <c r="B607" s="19"/>
      <c r="C607" s="19"/>
      <c r="D607" s="19"/>
      <c r="E607" s="19"/>
    </row>
    <row r="608" spans="1:5" ht="13.5" customHeight="1">
      <c r="A608" s="19"/>
      <c r="B608" s="19"/>
      <c r="C608" s="19"/>
      <c r="D608" s="19"/>
      <c r="E608" s="19"/>
    </row>
    <row r="609" spans="1:5" ht="13.5" customHeight="1">
      <c r="A609" s="19"/>
      <c r="B609" s="19"/>
      <c r="C609" s="19"/>
      <c r="D609" s="19"/>
      <c r="E609" s="19"/>
    </row>
    <row r="610" spans="1:5" ht="13.5" customHeight="1">
      <c r="A610" s="19"/>
      <c r="B610" s="19"/>
      <c r="C610" s="19"/>
      <c r="D610" s="19"/>
      <c r="E610" s="19"/>
    </row>
    <row r="611" spans="1:5" ht="13.5" customHeight="1">
      <c r="A611" s="19"/>
      <c r="B611" s="19"/>
      <c r="C611" s="19"/>
      <c r="D611" s="19"/>
      <c r="E611" s="19"/>
    </row>
    <row r="612" spans="1:5" ht="13.5" customHeight="1">
      <c r="A612" s="19"/>
      <c r="B612" s="19"/>
      <c r="C612" s="19"/>
      <c r="D612" s="19"/>
      <c r="E612" s="19"/>
    </row>
    <row r="613" spans="1:5" ht="13.5" customHeight="1">
      <c r="A613" s="19"/>
      <c r="B613" s="19"/>
      <c r="C613" s="19"/>
      <c r="D613" s="19"/>
      <c r="E613" s="19"/>
    </row>
    <row r="614" spans="1:5" ht="13.5" customHeight="1">
      <c r="A614" s="19"/>
      <c r="B614" s="19"/>
      <c r="C614" s="19"/>
      <c r="D614" s="19"/>
      <c r="E614" s="19"/>
    </row>
    <row r="615" spans="1:5" ht="13.5" customHeight="1">
      <c r="A615" s="19"/>
      <c r="B615" s="19"/>
      <c r="C615" s="19"/>
      <c r="D615" s="19"/>
      <c r="E615" s="19"/>
    </row>
    <row r="616" spans="1:5" ht="13.5" customHeight="1">
      <c r="A616" s="19"/>
      <c r="B616" s="19"/>
      <c r="C616" s="19"/>
      <c r="D616" s="19"/>
      <c r="E616" s="19"/>
    </row>
    <row r="617" spans="1:5" ht="13.5" customHeight="1">
      <c r="A617" s="19"/>
      <c r="B617" s="19"/>
      <c r="C617" s="19"/>
      <c r="D617" s="19"/>
      <c r="E617" s="19"/>
    </row>
    <row r="618" spans="1:5" ht="13.5" customHeight="1">
      <c r="A618" s="19"/>
      <c r="B618" s="19"/>
      <c r="C618" s="19"/>
      <c r="D618" s="19"/>
      <c r="E618" s="19"/>
    </row>
    <row r="619" spans="1:5" ht="13.5" customHeight="1">
      <c r="A619" s="19"/>
      <c r="B619" s="19"/>
      <c r="C619" s="19"/>
      <c r="D619" s="19"/>
      <c r="E619" s="19"/>
    </row>
    <row r="620" spans="1:5" ht="13.5" customHeight="1">
      <c r="A620" s="19"/>
      <c r="B620" s="19"/>
      <c r="C620" s="19"/>
      <c r="D620" s="19"/>
      <c r="E620" s="19"/>
    </row>
    <row r="621" spans="1:5" ht="13.5" customHeight="1">
      <c r="A621" s="19"/>
      <c r="B621" s="19"/>
      <c r="C621" s="19"/>
      <c r="D621" s="19"/>
      <c r="E621" s="19"/>
    </row>
    <row r="622" spans="1:5" ht="13.5" customHeight="1">
      <c r="A622" s="19"/>
      <c r="B622" s="19"/>
      <c r="C622" s="19"/>
      <c r="D622" s="19"/>
      <c r="E622" s="19"/>
    </row>
    <row r="623" spans="1:5" ht="13.5" customHeight="1">
      <c r="A623" s="19"/>
      <c r="B623" s="19"/>
      <c r="C623" s="19"/>
      <c r="D623" s="19"/>
      <c r="E623" s="19"/>
    </row>
    <row r="624" spans="1:5" ht="13.5" customHeight="1">
      <c r="A624" s="19"/>
      <c r="B624" s="19"/>
      <c r="C624" s="19"/>
      <c r="D624" s="19"/>
      <c r="E624" s="19"/>
    </row>
    <row r="625" spans="1:5" ht="13.5" customHeight="1">
      <c r="A625" s="19"/>
      <c r="B625" s="19"/>
      <c r="C625" s="19"/>
      <c r="D625" s="19"/>
      <c r="E625" s="19"/>
    </row>
    <row r="626" spans="1:5" ht="13.5" customHeight="1">
      <c r="A626" s="19"/>
      <c r="B626" s="19"/>
      <c r="C626" s="19"/>
      <c r="D626" s="19"/>
      <c r="E626" s="19"/>
    </row>
    <row r="627" spans="1:5" ht="13.5" customHeight="1">
      <c r="A627" s="19"/>
      <c r="B627" s="19"/>
      <c r="C627" s="19"/>
      <c r="D627" s="19"/>
      <c r="E627" s="19"/>
    </row>
    <row r="628" spans="1:5" ht="13.5" customHeight="1">
      <c r="A628" s="19"/>
      <c r="B628" s="19"/>
      <c r="C628" s="19"/>
      <c r="D628" s="19"/>
      <c r="E628" s="19"/>
    </row>
    <row r="629" spans="1:5" ht="13.5" customHeight="1">
      <c r="A629" s="19"/>
      <c r="B629" s="19"/>
      <c r="C629" s="19"/>
      <c r="D629" s="19"/>
      <c r="E629" s="19"/>
    </row>
    <row r="630" spans="1:5" ht="13.5" customHeight="1">
      <c r="A630" s="19"/>
      <c r="B630" s="19"/>
      <c r="C630" s="19"/>
      <c r="D630" s="19"/>
      <c r="E630" s="19"/>
    </row>
    <row r="631" spans="1:5" ht="13.5" customHeight="1">
      <c r="A631" s="19"/>
      <c r="B631" s="19"/>
      <c r="C631" s="19"/>
      <c r="D631" s="19"/>
      <c r="E631" s="19"/>
    </row>
    <row r="632" spans="1:5" ht="13.5" customHeight="1">
      <c r="A632" s="19"/>
      <c r="B632" s="19"/>
      <c r="C632" s="19"/>
      <c r="D632" s="19"/>
      <c r="E632" s="19"/>
    </row>
    <row r="633" spans="1:5" ht="13.5" customHeight="1">
      <c r="A633" s="19"/>
      <c r="B633" s="19"/>
      <c r="C633" s="19"/>
      <c r="D633" s="19"/>
      <c r="E633" s="19"/>
    </row>
    <row r="634" spans="1:5" ht="13.5" customHeight="1">
      <c r="A634" s="19"/>
      <c r="B634" s="19"/>
      <c r="C634" s="19"/>
      <c r="D634" s="19"/>
      <c r="E634" s="19"/>
    </row>
    <row r="635" spans="1:5" ht="13.5" customHeight="1">
      <c r="A635" s="19"/>
      <c r="B635" s="19"/>
      <c r="C635" s="19"/>
      <c r="D635" s="19"/>
      <c r="E635" s="19"/>
    </row>
    <row r="636" spans="1:5" ht="13.5" customHeight="1">
      <c r="A636" s="19"/>
      <c r="B636" s="19"/>
      <c r="C636" s="19"/>
      <c r="D636" s="19"/>
      <c r="E636" s="19"/>
    </row>
    <row r="637" spans="1:5" ht="13.5" customHeight="1">
      <c r="A637" s="19"/>
      <c r="B637" s="19"/>
      <c r="C637" s="19"/>
      <c r="D637" s="19"/>
      <c r="E637" s="19"/>
    </row>
    <row r="638" spans="1:5" ht="13.5" customHeight="1">
      <c r="A638" s="19"/>
      <c r="B638" s="19"/>
      <c r="C638" s="19"/>
      <c r="D638" s="19"/>
      <c r="E638" s="19"/>
    </row>
    <row r="639" spans="1:5" ht="13.5" customHeight="1">
      <c r="A639" s="19"/>
      <c r="B639" s="19"/>
      <c r="C639" s="19"/>
      <c r="D639" s="19"/>
      <c r="E639" s="19"/>
    </row>
    <row r="640" spans="1:5" ht="13.5" customHeight="1">
      <c r="A640" s="19"/>
      <c r="B640" s="19"/>
      <c r="C640" s="19"/>
      <c r="D640" s="19"/>
      <c r="E640" s="19"/>
    </row>
    <row r="641" spans="1:5" ht="13.5" customHeight="1">
      <c r="A641" s="19"/>
      <c r="B641" s="19"/>
      <c r="C641" s="19"/>
      <c r="D641" s="19"/>
      <c r="E641" s="19"/>
    </row>
    <row r="642" spans="1:5" ht="13.5" customHeight="1">
      <c r="A642" s="19"/>
      <c r="B642" s="19"/>
      <c r="C642" s="19"/>
      <c r="D642" s="19"/>
      <c r="E642" s="19"/>
    </row>
    <row r="643" spans="1:5" ht="13.5" customHeight="1">
      <c r="A643" s="19"/>
      <c r="B643" s="19"/>
      <c r="C643" s="19"/>
      <c r="D643" s="19"/>
      <c r="E643" s="19"/>
    </row>
    <row r="644" spans="1:5" ht="13.5" customHeight="1">
      <c r="A644" s="19"/>
      <c r="B644" s="19"/>
      <c r="C644" s="19"/>
      <c r="D644" s="19"/>
      <c r="E644" s="19"/>
    </row>
    <row r="645" spans="1:5" ht="13.5" customHeight="1">
      <c r="A645" s="19"/>
      <c r="B645" s="19"/>
      <c r="C645" s="19"/>
      <c r="D645" s="19"/>
      <c r="E645" s="19"/>
    </row>
    <row r="646" spans="1:5" ht="13.5" customHeight="1">
      <c r="A646" s="19"/>
      <c r="B646" s="19"/>
      <c r="C646" s="19"/>
      <c r="D646" s="19"/>
      <c r="E646" s="19"/>
    </row>
    <row r="647" spans="1:5" ht="13.5" customHeight="1">
      <c r="A647" s="19"/>
      <c r="B647" s="19"/>
      <c r="C647" s="19"/>
      <c r="D647" s="19"/>
      <c r="E647" s="19"/>
    </row>
    <row r="648" spans="1:5" ht="13.5" customHeight="1">
      <c r="A648" s="19"/>
      <c r="B648" s="19"/>
      <c r="C648" s="19"/>
      <c r="D648" s="19"/>
      <c r="E648" s="19"/>
    </row>
    <row r="649" spans="1:5" ht="13.5" customHeight="1">
      <c r="A649" s="19"/>
      <c r="B649" s="19"/>
      <c r="C649" s="19"/>
      <c r="D649" s="19"/>
      <c r="E649" s="19"/>
    </row>
    <row r="650" spans="1:5" ht="13.5" customHeight="1">
      <c r="A650" s="19"/>
      <c r="B650" s="19"/>
      <c r="C650" s="19"/>
      <c r="D650" s="19"/>
      <c r="E650" s="19"/>
    </row>
    <row r="651" spans="1:5" ht="13.5" customHeight="1">
      <c r="A651" s="19"/>
      <c r="B651" s="19"/>
      <c r="C651" s="19"/>
      <c r="D651" s="19"/>
      <c r="E651" s="19"/>
    </row>
    <row r="652" spans="1:5" ht="13.5" customHeight="1">
      <c r="A652" s="19"/>
      <c r="B652" s="19"/>
      <c r="C652" s="19"/>
      <c r="D652" s="19"/>
      <c r="E652" s="19"/>
    </row>
    <row r="653" spans="1:5" ht="13.5" customHeight="1">
      <c r="A653" s="19"/>
      <c r="B653" s="19"/>
      <c r="C653" s="19"/>
      <c r="D653" s="19"/>
      <c r="E653" s="19"/>
    </row>
    <row r="654" spans="1:5" ht="13.5" customHeight="1">
      <c r="A654" s="19"/>
      <c r="B654" s="19"/>
      <c r="C654" s="19"/>
      <c r="D654" s="19"/>
      <c r="E654" s="19"/>
    </row>
    <row r="655" spans="1:5" ht="13.5" customHeight="1">
      <c r="A655" s="19"/>
      <c r="B655" s="19"/>
      <c r="C655" s="19"/>
      <c r="D655" s="19"/>
      <c r="E655" s="19"/>
    </row>
    <row r="656" spans="1:5" ht="13.5" customHeight="1">
      <c r="A656" s="19"/>
      <c r="B656" s="19"/>
      <c r="C656" s="19"/>
      <c r="D656" s="19"/>
      <c r="E656" s="19"/>
    </row>
    <row r="657" spans="1:5" ht="13.5" customHeight="1">
      <c r="A657" s="19"/>
      <c r="B657" s="19"/>
      <c r="C657" s="19"/>
      <c r="D657" s="19"/>
      <c r="E657" s="19"/>
    </row>
    <row r="658" spans="1:5" ht="13.5" customHeight="1">
      <c r="A658" s="19"/>
      <c r="B658" s="19"/>
      <c r="C658" s="19"/>
      <c r="D658" s="19"/>
      <c r="E658" s="19"/>
    </row>
    <row r="659" spans="1:5" ht="13.5" customHeight="1">
      <c r="A659" s="19"/>
      <c r="B659" s="19"/>
      <c r="C659" s="19"/>
      <c r="D659" s="19"/>
      <c r="E659" s="19"/>
    </row>
    <row r="660" spans="1:5" ht="13.5" customHeight="1">
      <c r="A660" s="19"/>
      <c r="B660" s="19"/>
      <c r="C660" s="19"/>
      <c r="D660" s="19"/>
      <c r="E660" s="19"/>
    </row>
    <row r="661" spans="1:5" ht="13.5" customHeight="1">
      <c r="A661" s="19"/>
      <c r="B661" s="19"/>
      <c r="C661" s="19"/>
      <c r="D661" s="19"/>
      <c r="E661" s="19"/>
    </row>
    <row r="662" spans="1:5" ht="13.5" customHeight="1">
      <c r="A662" s="19"/>
      <c r="B662" s="19"/>
      <c r="C662" s="19"/>
      <c r="D662" s="19"/>
      <c r="E662" s="19"/>
    </row>
    <row r="663" spans="1:5" ht="13.5" customHeight="1">
      <c r="A663" s="19"/>
      <c r="B663" s="19"/>
      <c r="C663" s="19"/>
      <c r="D663" s="19"/>
      <c r="E663" s="19"/>
    </row>
    <row r="664" spans="1:5" ht="13.5" customHeight="1">
      <c r="A664" s="19"/>
      <c r="B664" s="19"/>
      <c r="C664" s="19"/>
      <c r="D664" s="19"/>
      <c r="E664" s="19"/>
    </row>
    <row r="665" spans="1:5" ht="13.5" customHeight="1">
      <c r="A665" s="19"/>
      <c r="B665" s="19"/>
      <c r="C665" s="19"/>
      <c r="D665" s="19"/>
      <c r="E665" s="19"/>
    </row>
    <row r="666" spans="1:5" ht="13.5" customHeight="1">
      <c r="A666" s="19"/>
      <c r="B666" s="19"/>
      <c r="C666" s="19"/>
      <c r="D666" s="19"/>
      <c r="E666" s="19"/>
    </row>
    <row r="667" spans="1:5" ht="13.5" customHeight="1">
      <c r="A667" s="19"/>
      <c r="B667" s="19"/>
      <c r="C667" s="19"/>
      <c r="D667" s="19"/>
      <c r="E667" s="19"/>
    </row>
    <row r="668" spans="1:5" ht="13.5" customHeight="1">
      <c r="A668" s="19"/>
      <c r="B668" s="19"/>
      <c r="C668" s="19"/>
      <c r="D668" s="19"/>
      <c r="E668" s="19"/>
    </row>
    <row r="669" spans="1:5" ht="13.5" customHeight="1">
      <c r="A669" s="19"/>
      <c r="B669" s="19"/>
      <c r="C669" s="19"/>
      <c r="D669" s="19"/>
      <c r="E669" s="19"/>
    </row>
    <row r="670" spans="1:5" ht="13.5" customHeight="1">
      <c r="A670" s="19"/>
      <c r="B670" s="19"/>
      <c r="C670" s="19"/>
      <c r="D670" s="19"/>
      <c r="E670" s="19"/>
    </row>
    <row r="671" spans="1:5" ht="13.5" customHeight="1">
      <c r="A671" s="19"/>
      <c r="B671" s="19"/>
      <c r="C671" s="19"/>
      <c r="D671" s="19"/>
      <c r="E671" s="19"/>
    </row>
    <row r="672" spans="1:5" ht="13.5" customHeight="1">
      <c r="A672" s="19"/>
      <c r="B672" s="19"/>
      <c r="C672" s="19"/>
      <c r="D672" s="19"/>
      <c r="E672" s="19"/>
    </row>
    <row r="673" spans="1:5" ht="13.5" customHeight="1">
      <c r="A673" s="19"/>
      <c r="B673" s="19"/>
      <c r="C673" s="19"/>
      <c r="D673" s="19"/>
      <c r="E673" s="19"/>
    </row>
    <row r="674" spans="1:5" ht="13.5" customHeight="1">
      <c r="A674" s="19"/>
      <c r="B674" s="19"/>
      <c r="C674" s="19"/>
      <c r="D674" s="19"/>
      <c r="E674" s="19"/>
    </row>
    <row r="675" spans="1:5" ht="13.5" customHeight="1">
      <c r="A675" s="19"/>
      <c r="B675" s="19"/>
      <c r="C675" s="19"/>
      <c r="D675" s="19"/>
      <c r="E675" s="19"/>
    </row>
    <row r="676" spans="1:5" ht="13.5" customHeight="1">
      <c r="A676" s="19"/>
      <c r="B676" s="19"/>
      <c r="C676" s="19"/>
      <c r="D676" s="19"/>
      <c r="E676" s="19"/>
    </row>
    <row r="677" spans="1:5" ht="13.5" customHeight="1">
      <c r="A677" s="19"/>
      <c r="B677" s="19"/>
      <c r="C677" s="19"/>
      <c r="D677" s="19"/>
      <c r="E677" s="19"/>
    </row>
    <row r="678" spans="1:5" ht="13.5" customHeight="1">
      <c r="A678" s="19"/>
      <c r="B678" s="19"/>
      <c r="C678" s="19"/>
      <c r="D678" s="19"/>
      <c r="E678" s="19"/>
    </row>
    <row r="679" spans="1:5" ht="13.5" customHeight="1">
      <c r="A679" s="19"/>
      <c r="B679" s="19"/>
      <c r="C679" s="19"/>
      <c r="D679" s="19"/>
      <c r="E679" s="19"/>
    </row>
    <row r="680" spans="1:5" ht="13.5" customHeight="1">
      <c r="A680" s="19"/>
      <c r="B680" s="19"/>
      <c r="C680" s="19"/>
      <c r="D680" s="19"/>
      <c r="E680" s="19"/>
    </row>
    <row r="681" spans="1:5" ht="13.5" customHeight="1">
      <c r="A681" s="19"/>
      <c r="B681" s="19"/>
      <c r="C681" s="19"/>
      <c r="D681" s="19"/>
      <c r="E681" s="19"/>
    </row>
    <row r="682" spans="1:5" ht="13.5" customHeight="1">
      <c r="A682" s="19"/>
      <c r="B682" s="19"/>
      <c r="C682" s="19"/>
      <c r="D682" s="19"/>
      <c r="E682" s="19"/>
    </row>
    <row r="683" spans="1:5" ht="13.5" customHeight="1">
      <c r="A683" s="19"/>
      <c r="B683" s="19"/>
      <c r="C683" s="19"/>
      <c r="D683" s="19"/>
      <c r="E683" s="19"/>
    </row>
    <row r="684" spans="1:5" ht="13.5" customHeight="1">
      <c r="A684" s="19"/>
      <c r="B684" s="19"/>
      <c r="C684" s="19"/>
      <c r="D684" s="19"/>
      <c r="E684" s="19"/>
    </row>
    <row r="685" spans="1:5" ht="13.5" customHeight="1">
      <c r="A685" s="19"/>
      <c r="B685" s="19"/>
      <c r="C685" s="19"/>
      <c r="D685" s="19"/>
      <c r="E685" s="19"/>
    </row>
    <row r="686" spans="1:5" ht="13.5" customHeight="1">
      <c r="A686" s="19"/>
      <c r="B686" s="19"/>
      <c r="C686" s="19"/>
      <c r="D686" s="19"/>
      <c r="E686" s="19"/>
    </row>
    <row r="687" spans="1:5" ht="13.5" customHeight="1">
      <c r="A687" s="19"/>
      <c r="B687" s="19"/>
      <c r="C687" s="19"/>
      <c r="D687" s="19"/>
      <c r="E687" s="19"/>
    </row>
    <row r="688" spans="1:5" ht="13.5" customHeight="1">
      <c r="A688" s="19"/>
      <c r="B688" s="19"/>
      <c r="C688" s="19"/>
      <c r="D688" s="19"/>
      <c r="E688" s="19"/>
    </row>
    <row r="689" spans="1:5" ht="13.5" customHeight="1">
      <c r="A689" s="19"/>
      <c r="B689" s="19"/>
      <c r="C689" s="19"/>
      <c r="D689" s="19"/>
      <c r="E689" s="19"/>
    </row>
    <row r="690" spans="1:5" ht="13.5" customHeight="1">
      <c r="A690" s="19"/>
      <c r="B690" s="19"/>
      <c r="C690" s="19"/>
      <c r="D690" s="19"/>
      <c r="E690" s="19"/>
    </row>
    <row r="691" spans="1:5" ht="13.5" customHeight="1">
      <c r="A691" s="19"/>
      <c r="B691" s="19"/>
      <c r="C691" s="19"/>
      <c r="D691" s="19"/>
      <c r="E691" s="19"/>
    </row>
    <row r="692" spans="1:5" ht="13.5" customHeight="1">
      <c r="A692" s="19"/>
      <c r="B692" s="19"/>
      <c r="C692" s="19"/>
      <c r="D692" s="19"/>
      <c r="E692" s="19"/>
    </row>
    <row r="693" spans="1:5" ht="13.5" customHeight="1">
      <c r="A693" s="19"/>
      <c r="B693" s="19"/>
      <c r="C693" s="19"/>
      <c r="D693" s="19"/>
      <c r="E693" s="19"/>
    </row>
    <row r="694" spans="1:5" ht="13.5" customHeight="1">
      <c r="A694" s="19"/>
      <c r="B694" s="19"/>
      <c r="C694" s="19"/>
      <c r="D694" s="19"/>
      <c r="E694" s="19"/>
    </row>
    <row r="695" spans="1:5" ht="13.5" customHeight="1">
      <c r="A695" s="19"/>
      <c r="B695" s="19"/>
      <c r="C695" s="19"/>
      <c r="D695" s="19"/>
      <c r="E695" s="19"/>
    </row>
    <row r="696" spans="1:5" ht="13.5" customHeight="1">
      <c r="A696" s="19"/>
      <c r="B696" s="19"/>
      <c r="C696" s="19"/>
      <c r="D696" s="19"/>
      <c r="E696" s="19"/>
    </row>
    <row r="697" spans="1:5" ht="13.5" customHeight="1">
      <c r="A697" s="19"/>
      <c r="B697" s="19"/>
      <c r="C697" s="19"/>
      <c r="D697" s="19"/>
      <c r="E697" s="19"/>
    </row>
    <row r="698" spans="1:5" ht="13.5" customHeight="1">
      <c r="A698" s="19"/>
      <c r="B698" s="19"/>
      <c r="C698" s="19"/>
      <c r="D698" s="19"/>
      <c r="E698" s="19"/>
    </row>
    <row r="699" spans="1:5" ht="13.5" customHeight="1">
      <c r="A699" s="19"/>
      <c r="B699" s="19"/>
      <c r="C699" s="19"/>
      <c r="D699" s="19"/>
      <c r="E699" s="19"/>
    </row>
    <row r="700" spans="1:5" ht="13.5" customHeight="1">
      <c r="A700" s="19"/>
      <c r="B700" s="19"/>
      <c r="C700" s="19"/>
      <c r="D700" s="19"/>
      <c r="E700" s="19"/>
    </row>
    <row r="701" spans="1:5" ht="13.5" customHeight="1">
      <c r="A701" s="19"/>
      <c r="B701" s="19"/>
      <c r="C701" s="19"/>
      <c r="D701" s="19"/>
      <c r="E701" s="19"/>
    </row>
    <row r="702" spans="1:5" ht="13.5" customHeight="1">
      <c r="A702" s="19"/>
      <c r="B702" s="19"/>
      <c r="C702" s="19"/>
      <c r="D702" s="19"/>
      <c r="E702" s="19"/>
    </row>
    <row r="703" spans="1:5" ht="13.5" customHeight="1">
      <c r="A703" s="19"/>
      <c r="B703" s="19"/>
      <c r="C703" s="19"/>
      <c r="D703" s="19"/>
      <c r="E703" s="19"/>
    </row>
    <row r="704" spans="1:5" ht="13.5" customHeight="1">
      <c r="A704" s="19"/>
      <c r="B704" s="19"/>
      <c r="C704" s="19"/>
      <c r="D704" s="19"/>
      <c r="E704" s="19"/>
    </row>
    <row r="705" spans="1:5" ht="13.5" customHeight="1">
      <c r="A705" s="19"/>
      <c r="B705" s="19"/>
      <c r="C705" s="19"/>
      <c r="D705" s="19"/>
      <c r="E705" s="19"/>
    </row>
    <row r="706" spans="1:5" ht="13.5" customHeight="1">
      <c r="A706" s="19"/>
      <c r="B706" s="19"/>
      <c r="C706" s="19"/>
      <c r="D706" s="19"/>
      <c r="E706" s="19"/>
    </row>
    <row r="707" spans="1:5" ht="13.5" customHeight="1">
      <c r="A707" s="19"/>
      <c r="B707" s="19"/>
      <c r="C707" s="19"/>
      <c r="D707" s="19"/>
      <c r="E707" s="19"/>
    </row>
    <row r="708" spans="1:5" ht="13.5" customHeight="1">
      <c r="A708" s="19"/>
      <c r="B708" s="19"/>
      <c r="C708" s="19"/>
      <c r="D708" s="19"/>
      <c r="E708" s="19"/>
    </row>
    <row r="709" spans="1:5" ht="13.5" customHeight="1">
      <c r="A709" s="19"/>
      <c r="B709" s="19"/>
      <c r="C709" s="19"/>
      <c r="D709" s="19"/>
      <c r="E709" s="19"/>
    </row>
    <row r="710" spans="1:5" ht="13.5" customHeight="1">
      <c r="A710" s="19"/>
      <c r="B710" s="19"/>
      <c r="C710" s="19"/>
      <c r="D710" s="19"/>
      <c r="E710" s="19"/>
    </row>
    <row r="711" spans="1:5" ht="13.5" customHeight="1">
      <c r="A711" s="19"/>
      <c r="B711" s="19"/>
      <c r="C711" s="19"/>
      <c r="D711" s="19"/>
      <c r="E711" s="19"/>
    </row>
    <row r="712" spans="1:5" ht="13.5" customHeight="1">
      <c r="A712" s="19"/>
      <c r="B712" s="19"/>
      <c r="C712" s="19"/>
      <c r="D712" s="19"/>
      <c r="E712" s="19"/>
    </row>
    <row r="713" spans="1:5" ht="13.5" customHeight="1">
      <c r="A713" s="19"/>
      <c r="B713" s="19"/>
      <c r="C713" s="19"/>
      <c r="D713" s="19"/>
      <c r="E713" s="19"/>
    </row>
    <row r="714" spans="1:5" ht="13.5" customHeight="1">
      <c r="A714" s="19"/>
      <c r="B714" s="19"/>
      <c r="C714" s="19"/>
      <c r="D714" s="19"/>
      <c r="E714" s="19"/>
    </row>
    <row r="715" spans="1:5" ht="13.5" customHeight="1">
      <c r="A715" s="19"/>
      <c r="B715" s="19"/>
      <c r="C715" s="19"/>
      <c r="D715" s="19"/>
      <c r="E715" s="19"/>
    </row>
    <row r="716" spans="1:5" ht="13.5" customHeight="1">
      <c r="A716" s="19"/>
      <c r="B716" s="19"/>
      <c r="C716" s="19"/>
      <c r="D716" s="19"/>
      <c r="E716" s="19"/>
    </row>
    <row r="717" spans="1:5" ht="13.5" customHeight="1">
      <c r="A717" s="19"/>
      <c r="B717" s="19"/>
      <c r="C717" s="19"/>
      <c r="D717" s="19"/>
      <c r="E717" s="19"/>
    </row>
    <row r="718" spans="1:5" ht="13.5" customHeight="1">
      <c r="A718" s="19"/>
      <c r="B718" s="19"/>
      <c r="C718" s="19"/>
      <c r="D718" s="19"/>
      <c r="E718" s="19"/>
    </row>
    <row r="719" spans="1:5" ht="13.5" customHeight="1">
      <c r="A719" s="19"/>
      <c r="B719" s="19"/>
      <c r="C719" s="19"/>
      <c r="D719" s="19"/>
      <c r="E719" s="19"/>
    </row>
    <row r="720" spans="1:5" ht="13.5" customHeight="1">
      <c r="A720" s="19"/>
      <c r="B720" s="19"/>
      <c r="C720" s="19"/>
      <c r="D720" s="19"/>
      <c r="E720" s="19"/>
    </row>
    <row r="721" spans="1:5" ht="13.5" customHeight="1">
      <c r="A721" s="19"/>
      <c r="B721" s="19"/>
      <c r="C721" s="19"/>
      <c r="D721" s="19"/>
      <c r="E721" s="19"/>
    </row>
    <row r="722" spans="1:5" ht="13.5" customHeight="1">
      <c r="A722" s="19"/>
      <c r="B722" s="19"/>
      <c r="C722" s="19"/>
      <c r="D722" s="19"/>
      <c r="E722" s="19"/>
    </row>
    <row r="723" spans="1:5" ht="13.5" customHeight="1">
      <c r="A723" s="19"/>
      <c r="B723" s="19"/>
      <c r="C723" s="19"/>
      <c r="D723" s="19"/>
      <c r="E723" s="19"/>
    </row>
    <row r="724" spans="1:5" ht="13.5" customHeight="1">
      <c r="A724" s="19"/>
      <c r="B724" s="19"/>
      <c r="C724" s="19"/>
      <c r="D724" s="19"/>
      <c r="E724" s="19"/>
    </row>
    <row r="725" spans="1:5" ht="13.5" customHeight="1">
      <c r="A725" s="19"/>
      <c r="B725" s="19"/>
      <c r="C725" s="19"/>
      <c r="D725" s="19"/>
      <c r="E725" s="19"/>
    </row>
    <row r="726" spans="1:5" ht="13.5" customHeight="1">
      <c r="A726" s="19"/>
      <c r="B726" s="19"/>
      <c r="C726" s="19"/>
      <c r="D726" s="19"/>
      <c r="E726" s="19"/>
    </row>
    <row r="727" spans="1:5" ht="13.5" customHeight="1">
      <c r="A727" s="19"/>
      <c r="B727" s="19"/>
      <c r="C727" s="19"/>
      <c r="D727" s="19"/>
      <c r="E727" s="19"/>
    </row>
    <row r="728" spans="1:5" ht="13.5" customHeight="1">
      <c r="A728" s="19"/>
      <c r="B728" s="19"/>
      <c r="C728" s="19"/>
      <c r="D728" s="19"/>
      <c r="E728" s="19"/>
    </row>
    <row r="729" spans="1:5" ht="13.5" customHeight="1">
      <c r="A729" s="19"/>
      <c r="B729" s="19"/>
      <c r="C729" s="19"/>
      <c r="D729" s="19"/>
      <c r="E729" s="19"/>
    </row>
    <row r="730" spans="1:5" ht="13.5" customHeight="1">
      <c r="A730" s="19"/>
      <c r="B730" s="19"/>
      <c r="C730" s="19"/>
      <c r="D730" s="19"/>
      <c r="E730" s="19"/>
    </row>
    <row r="731" spans="1:5" ht="13.5" customHeight="1">
      <c r="A731" s="19"/>
      <c r="B731" s="19"/>
      <c r="C731" s="19"/>
      <c r="D731" s="19"/>
      <c r="E731" s="19"/>
    </row>
    <row r="732" spans="1:5" ht="13.5" customHeight="1">
      <c r="A732" s="19"/>
      <c r="B732" s="19"/>
      <c r="C732" s="19"/>
      <c r="D732" s="19"/>
      <c r="E732" s="19"/>
    </row>
    <row r="733" spans="1:5" ht="13.5" customHeight="1">
      <c r="A733" s="19"/>
      <c r="B733" s="19"/>
      <c r="C733" s="19"/>
      <c r="D733" s="19"/>
      <c r="E733" s="19"/>
    </row>
    <row r="734" spans="1:5" ht="13.5" customHeight="1">
      <c r="A734" s="19"/>
      <c r="B734" s="19"/>
      <c r="C734" s="19"/>
      <c r="D734" s="19"/>
      <c r="E734" s="19"/>
    </row>
    <row r="735" spans="1:5" ht="13.5" customHeight="1">
      <c r="A735" s="19"/>
      <c r="B735" s="19"/>
      <c r="C735" s="19"/>
      <c r="D735" s="19"/>
      <c r="E735" s="19"/>
    </row>
    <row r="736" spans="1:5" ht="13.5" customHeight="1">
      <c r="A736" s="19"/>
      <c r="B736" s="19"/>
      <c r="C736" s="19"/>
      <c r="D736" s="19"/>
      <c r="E736" s="19"/>
    </row>
    <row r="737" spans="1:5" ht="13.5" customHeight="1">
      <c r="A737" s="19"/>
      <c r="B737" s="19"/>
      <c r="C737" s="19"/>
      <c r="D737" s="19"/>
      <c r="E737" s="19"/>
    </row>
    <row r="738" spans="1:5" ht="13.5" customHeight="1">
      <c r="A738" s="19"/>
      <c r="B738" s="19"/>
      <c r="C738" s="19"/>
      <c r="D738" s="19"/>
      <c r="E738" s="19"/>
    </row>
    <row r="739" spans="1:5" ht="13.5" customHeight="1">
      <c r="A739" s="19"/>
      <c r="B739" s="19"/>
      <c r="C739" s="19"/>
      <c r="D739" s="19"/>
      <c r="E739" s="19"/>
    </row>
    <row r="740" spans="1:5" ht="13.5" customHeight="1">
      <c r="A740" s="19"/>
      <c r="B740" s="19"/>
      <c r="C740" s="19"/>
      <c r="D740" s="19"/>
      <c r="E740" s="19"/>
    </row>
    <row r="741" spans="1:5" ht="13.5" customHeight="1">
      <c r="A741" s="19"/>
      <c r="B741" s="19"/>
      <c r="C741" s="19"/>
      <c r="D741" s="19"/>
      <c r="E741" s="19"/>
    </row>
    <row r="742" spans="1:5" ht="13.5" customHeight="1">
      <c r="A742" s="19"/>
      <c r="B742" s="19"/>
      <c r="C742" s="19"/>
      <c r="D742" s="19"/>
      <c r="E742" s="19"/>
    </row>
    <row r="743" spans="1:5" ht="13.5" customHeight="1">
      <c r="A743" s="19"/>
      <c r="B743" s="19"/>
      <c r="C743" s="19"/>
      <c r="D743" s="19"/>
      <c r="E743" s="19"/>
    </row>
    <row r="744" spans="1:5" ht="13.5" customHeight="1">
      <c r="A744" s="19"/>
      <c r="B744" s="19"/>
      <c r="C744" s="19"/>
      <c r="D744" s="19"/>
      <c r="E744" s="19"/>
    </row>
    <row r="745" spans="1:5" ht="13.5" customHeight="1">
      <c r="A745" s="19"/>
      <c r="B745" s="19"/>
      <c r="C745" s="19"/>
      <c r="D745" s="19"/>
      <c r="E745" s="19"/>
    </row>
    <row r="746" spans="1:5" ht="13.5" customHeight="1">
      <c r="A746" s="19"/>
      <c r="B746" s="19"/>
      <c r="C746" s="19"/>
      <c r="D746" s="19"/>
      <c r="E746" s="19"/>
    </row>
    <row r="747" spans="1:5" ht="13.5" customHeight="1">
      <c r="A747" s="19"/>
      <c r="B747" s="19"/>
      <c r="C747" s="19"/>
      <c r="D747" s="19"/>
      <c r="E747" s="19"/>
    </row>
    <row r="748" spans="1:5" ht="13.5" customHeight="1">
      <c r="A748" s="19"/>
      <c r="B748" s="19"/>
      <c r="C748" s="19"/>
      <c r="D748" s="19"/>
      <c r="E748" s="19"/>
    </row>
    <row r="749" spans="1:5" ht="13.5" customHeight="1">
      <c r="A749" s="19"/>
      <c r="B749" s="19"/>
      <c r="C749" s="19"/>
      <c r="D749" s="19"/>
      <c r="E749" s="19"/>
    </row>
    <row r="750" spans="1:5" ht="13.5" customHeight="1">
      <c r="A750" s="19"/>
      <c r="B750" s="19"/>
      <c r="C750" s="19"/>
      <c r="D750" s="19"/>
      <c r="E750" s="19"/>
    </row>
    <row r="751" spans="1:5" ht="13.5" customHeight="1">
      <c r="A751" s="19"/>
      <c r="B751" s="19"/>
      <c r="C751" s="19"/>
      <c r="D751" s="19"/>
      <c r="E751" s="19"/>
    </row>
    <row r="752" spans="1:5" ht="13.5" customHeight="1">
      <c r="A752" s="19"/>
      <c r="B752" s="19"/>
      <c r="C752" s="19"/>
      <c r="D752" s="19"/>
      <c r="E752" s="19"/>
    </row>
    <row r="753" spans="1:5" ht="13.5" customHeight="1">
      <c r="A753" s="19"/>
      <c r="B753" s="19"/>
      <c r="C753" s="19"/>
      <c r="D753" s="19"/>
      <c r="E753" s="19"/>
    </row>
    <row r="754" spans="1:5" ht="13.5" customHeight="1">
      <c r="A754" s="19"/>
      <c r="B754" s="19"/>
      <c r="C754" s="19"/>
      <c r="D754" s="19"/>
      <c r="E754" s="19"/>
    </row>
    <row r="755" spans="1:5" ht="13.5" customHeight="1">
      <c r="A755" s="19"/>
      <c r="B755" s="19"/>
      <c r="C755" s="19"/>
      <c r="D755" s="19"/>
      <c r="E755" s="19"/>
    </row>
    <row r="756" spans="1:5" ht="13.5" customHeight="1">
      <c r="A756" s="19"/>
      <c r="B756" s="19"/>
      <c r="C756" s="19"/>
      <c r="D756" s="19"/>
      <c r="E756" s="19"/>
    </row>
    <row r="757" spans="1:5" ht="13.5" customHeight="1">
      <c r="A757" s="19"/>
      <c r="B757" s="19"/>
      <c r="C757" s="19"/>
      <c r="D757" s="19"/>
      <c r="E757" s="19"/>
    </row>
    <row r="758" spans="1:5" ht="13.5" customHeight="1">
      <c r="A758" s="19"/>
      <c r="B758" s="19"/>
      <c r="C758" s="19"/>
      <c r="D758" s="19"/>
      <c r="E758" s="19"/>
    </row>
    <row r="759" spans="1:5" ht="13.5" customHeight="1">
      <c r="A759" s="19"/>
      <c r="B759" s="19"/>
      <c r="C759" s="19"/>
      <c r="D759" s="19"/>
      <c r="E759" s="19"/>
    </row>
    <row r="760" spans="1:5" ht="13.5" customHeight="1">
      <c r="A760" s="19"/>
      <c r="B760" s="19"/>
      <c r="C760" s="19"/>
      <c r="D760" s="19"/>
      <c r="E760" s="19"/>
    </row>
    <row r="761" spans="1:5" ht="13.5" customHeight="1">
      <c r="A761" s="19"/>
      <c r="B761" s="19"/>
      <c r="C761" s="19"/>
      <c r="D761" s="19"/>
      <c r="E761" s="19"/>
    </row>
    <row r="762" spans="1:5" ht="13.5" customHeight="1">
      <c r="A762" s="19"/>
      <c r="B762" s="19"/>
      <c r="C762" s="19"/>
      <c r="D762" s="19"/>
      <c r="E762" s="19"/>
    </row>
    <row r="763" spans="1:5" ht="13.5" customHeight="1">
      <c r="A763" s="19"/>
      <c r="B763" s="19"/>
      <c r="C763" s="19"/>
      <c r="D763" s="19"/>
      <c r="E763" s="19"/>
    </row>
    <row r="764" spans="1:5" ht="13.5" customHeight="1">
      <c r="A764" s="19"/>
      <c r="B764" s="19"/>
      <c r="C764" s="19"/>
      <c r="D764" s="19"/>
      <c r="E764" s="19"/>
    </row>
    <row r="765" spans="1:5" ht="13.5" customHeight="1">
      <c r="A765" s="19"/>
      <c r="B765" s="19"/>
      <c r="C765" s="19"/>
      <c r="D765" s="19"/>
      <c r="E765" s="19"/>
    </row>
    <row r="766" spans="1:5" ht="13.5" customHeight="1">
      <c r="A766" s="19"/>
      <c r="B766" s="19"/>
      <c r="C766" s="19"/>
      <c r="D766" s="19"/>
      <c r="E766" s="19"/>
    </row>
    <row r="767" spans="1:5" ht="13.5" customHeight="1">
      <c r="A767" s="19"/>
      <c r="B767" s="19"/>
      <c r="C767" s="19"/>
      <c r="D767" s="19"/>
      <c r="E767" s="19"/>
    </row>
    <row r="768" spans="1:5" ht="13.5" customHeight="1">
      <c r="A768" s="19"/>
      <c r="B768" s="19"/>
      <c r="C768" s="19"/>
      <c r="D768" s="19"/>
      <c r="E768" s="19"/>
    </row>
    <row r="769" spans="1:5" ht="13.5" customHeight="1">
      <c r="A769" s="19"/>
      <c r="B769" s="19"/>
      <c r="C769" s="19"/>
      <c r="D769" s="19"/>
      <c r="E769" s="19"/>
    </row>
    <row r="770" spans="1:5" ht="13.5" customHeight="1">
      <c r="A770" s="19"/>
      <c r="B770" s="19"/>
      <c r="C770" s="19"/>
      <c r="D770" s="19"/>
      <c r="E770" s="19"/>
    </row>
    <row r="771" spans="1:5" ht="13.5" customHeight="1">
      <c r="A771" s="19"/>
      <c r="B771" s="19"/>
      <c r="C771" s="19"/>
      <c r="D771" s="19"/>
      <c r="E771" s="19"/>
    </row>
    <row r="772" spans="1:5" ht="13.5" customHeight="1">
      <c r="A772" s="19"/>
      <c r="B772" s="19"/>
      <c r="C772" s="19"/>
      <c r="D772" s="19"/>
      <c r="E772" s="19"/>
    </row>
    <row r="773" spans="1:5" ht="13.5" customHeight="1">
      <c r="A773" s="19"/>
      <c r="B773" s="19"/>
      <c r="C773" s="19"/>
      <c r="D773" s="19"/>
      <c r="E773" s="19"/>
    </row>
    <row r="774" spans="1:5" ht="13.5" customHeight="1">
      <c r="A774" s="19"/>
      <c r="B774" s="19"/>
      <c r="C774" s="19"/>
      <c r="D774" s="19"/>
      <c r="E774" s="19"/>
    </row>
    <row r="775" spans="1:5" ht="13.5" customHeight="1">
      <c r="A775" s="19"/>
      <c r="B775" s="19"/>
      <c r="C775" s="19"/>
      <c r="D775" s="19"/>
      <c r="E775" s="19"/>
    </row>
    <row r="776" spans="1:5" ht="13.5" customHeight="1">
      <c r="A776" s="19"/>
      <c r="B776" s="19"/>
      <c r="C776" s="19"/>
      <c r="D776" s="19"/>
      <c r="E776" s="19"/>
    </row>
    <row r="777" spans="1:5" ht="13.5" customHeight="1">
      <c r="A777" s="19"/>
      <c r="B777" s="19"/>
      <c r="C777" s="19"/>
      <c r="D777" s="19"/>
      <c r="E777" s="19"/>
    </row>
    <row r="778" spans="1:5" ht="13.5" customHeight="1">
      <c r="A778" s="19"/>
      <c r="B778" s="19"/>
      <c r="C778" s="19"/>
      <c r="D778" s="19"/>
      <c r="E778" s="19"/>
    </row>
    <row r="779" spans="1:5" ht="13.5" customHeight="1">
      <c r="A779" s="19"/>
      <c r="B779" s="19"/>
      <c r="C779" s="19"/>
      <c r="D779" s="19"/>
      <c r="E779" s="19"/>
    </row>
    <row r="780" spans="1:5" ht="13.5" customHeight="1">
      <c r="A780" s="19"/>
      <c r="B780" s="19"/>
      <c r="C780" s="19"/>
      <c r="D780" s="19"/>
      <c r="E780" s="19"/>
    </row>
    <row r="781" spans="1:5" ht="13.5" customHeight="1">
      <c r="A781" s="19"/>
      <c r="B781" s="19"/>
      <c r="C781" s="19"/>
      <c r="D781" s="19"/>
      <c r="E781" s="19"/>
    </row>
    <row r="782" spans="1:5" ht="13.5" customHeight="1">
      <c r="A782" s="19"/>
      <c r="B782" s="19"/>
      <c r="C782" s="19"/>
      <c r="D782" s="19"/>
      <c r="E782" s="19"/>
    </row>
    <row r="783" spans="1:5" ht="13.5" customHeight="1">
      <c r="A783" s="19"/>
      <c r="B783" s="19"/>
      <c r="C783" s="19"/>
      <c r="D783" s="19"/>
      <c r="E783" s="19"/>
    </row>
    <row r="784" spans="1:5" ht="13.5" customHeight="1">
      <c r="A784" s="19"/>
      <c r="B784" s="19"/>
      <c r="C784" s="19"/>
      <c r="D784" s="19"/>
      <c r="E784" s="19"/>
    </row>
    <row r="785" spans="1:5" ht="13.5" customHeight="1">
      <c r="A785" s="19"/>
      <c r="B785" s="19"/>
      <c r="C785" s="19"/>
      <c r="D785" s="19"/>
      <c r="E785" s="19"/>
    </row>
    <row r="786" spans="1:5" ht="13.5" customHeight="1">
      <c r="A786" s="19"/>
      <c r="B786" s="19"/>
      <c r="C786" s="19"/>
      <c r="D786" s="19"/>
      <c r="E786" s="19"/>
    </row>
    <row r="787" spans="1:5" ht="13.5" customHeight="1">
      <c r="A787" s="19"/>
      <c r="B787" s="19"/>
      <c r="C787" s="19"/>
      <c r="D787" s="19"/>
      <c r="E787" s="19"/>
    </row>
    <row r="788" spans="1:5" ht="13.5" customHeight="1">
      <c r="A788" s="19"/>
      <c r="B788" s="19"/>
      <c r="C788" s="19"/>
      <c r="D788" s="19"/>
      <c r="E788" s="19"/>
    </row>
    <row r="789" spans="1:5" ht="13.5" customHeight="1">
      <c r="A789" s="19"/>
      <c r="B789" s="19"/>
      <c r="C789" s="19"/>
      <c r="D789" s="19"/>
      <c r="E789" s="19"/>
    </row>
    <row r="790" spans="1:5" ht="13.5" customHeight="1">
      <c r="A790" s="19"/>
      <c r="B790" s="19"/>
      <c r="C790" s="19"/>
      <c r="D790" s="19"/>
      <c r="E790" s="19"/>
    </row>
    <row r="791" spans="1:5" ht="13.5" customHeight="1">
      <c r="A791" s="19"/>
      <c r="B791" s="19"/>
      <c r="C791" s="19"/>
      <c r="D791" s="19"/>
      <c r="E791" s="19"/>
    </row>
    <row r="792" spans="1:5" ht="13.5" customHeight="1">
      <c r="A792" s="19"/>
      <c r="B792" s="19"/>
      <c r="C792" s="19"/>
      <c r="D792" s="19"/>
      <c r="E792" s="19"/>
    </row>
    <row r="793" spans="1:5" ht="13.5" customHeight="1">
      <c r="A793" s="19"/>
      <c r="B793" s="19"/>
      <c r="C793" s="19"/>
      <c r="D793" s="19"/>
      <c r="E793" s="19"/>
    </row>
    <row r="794" spans="1:5" ht="13.5" customHeight="1">
      <c r="A794" s="19"/>
      <c r="B794" s="19"/>
      <c r="C794" s="19"/>
      <c r="D794" s="19"/>
      <c r="E794" s="19"/>
    </row>
    <row r="795" spans="1:5" ht="13.5" customHeight="1">
      <c r="A795" s="19"/>
      <c r="B795" s="19"/>
      <c r="C795" s="19"/>
      <c r="D795" s="19"/>
      <c r="E795" s="19"/>
    </row>
    <row r="796" spans="1:5" ht="13.5" customHeight="1">
      <c r="A796" s="19"/>
      <c r="B796" s="19"/>
      <c r="C796" s="19"/>
      <c r="D796" s="19"/>
      <c r="E796" s="19"/>
    </row>
    <row r="797" spans="1:5" ht="13.5" customHeight="1">
      <c r="A797" s="19"/>
      <c r="B797" s="19"/>
      <c r="C797" s="19"/>
      <c r="D797" s="19"/>
      <c r="E797" s="19"/>
    </row>
    <row r="798" spans="1:5" ht="13.5" customHeight="1">
      <c r="A798" s="19"/>
      <c r="B798" s="19"/>
      <c r="C798" s="19"/>
      <c r="D798" s="19"/>
      <c r="E798" s="19"/>
    </row>
    <row r="799" spans="1:5" ht="13.5" customHeight="1">
      <c r="A799" s="19"/>
      <c r="B799" s="19"/>
      <c r="C799" s="19"/>
      <c r="D799" s="19"/>
      <c r="E799" s="19"/>
    </row>
    <row r="800" spans="1:5" ht="13.5" customHeight="1">
      <c r="A800" s="19"/>
      <c r="B800" s="19"/>
      <c r="C800" s="19"/>
      <c r="D800" s="19"/>
      <c r="E800" s="19"/>
    </row>
    <row r="801" spans="1:5" ht="13.5" customHeight="1">
      <c r="A801" s="19"/>
      <c r="B801" s="19"/>
      <c r="C801" s="19"/>
      <c r="D801" s="19"/>
      <c r="E801" s="19"/>
    </row>
    <row r="802" spans="1:5" ht="13.5" customHeight="1">
      <c r="A802" s="19"/>
      <c r="B802" s="19"/>
      <c r="C802" s="19"/>
      <c r="D802" s="19"/>
      <c r="E802" s="19"/>
    </row>
    <row r="803" spans="1:5" ht="13.5" customHeight="1">
      <c r="A803" s="19"/>
      <c r="B803" s="19"/>
      <c r="C803" s="19"/>
      <c r="D803" s="19"/>
      <c r="E803" s="19"/>
    </row>
    <row r="804" spans="1:5" ht="13.5" customHeight="1">
      <c r="A804" s="19"/>
      <c r="B804" s="19"/>
      <c r="C804" s="19"/>
      <c r="D804" s="19"/>
      <c r="E804" s="19"/>
    </row>
    <row r="805" spans="1:5" ht="13.5" customHeight="1">
      <c r="A805" s="19"/>
      <c r="B805" s="19"/>
      <c r="C805" s="19"/>
      <c r="D805" s="19"/>
      <c r="E805" s="19"/>
    </row>
    <row r="806" spans="1:5" ht="13.5" customHeight="1">
      <c r="A806" s="19"/>
      <c r="B806" s="19"/>
      <c r="C806" s="19"/>
      <c r="D806" s="19"/>
      <c r="E806" s="19"/>
    </row>
    <row r="807" spans="1:5" ht="13.5" customHeight="1">
      <c r="A807" s="19"/>
      <c r="B807" s="19"/>
      <c r="C807" s="19"/>
      <c r="D807" s="19"/>
      <c r="E807" s="19"/>
    </row>
    <row r="808" spans="1:5" ht="13.5" customHeight="1">
      <c r="A808" s="19"/>
      <c r="B808" s="19"/>
      <c r="C808" s="19"/>
      <c r="D808" s="19"/>
      <c r="E808" s="19"/>
    </row>
    <row r="809" spans="1:5" ht="13.5" customHeight="1">
      <c r="A809" s="19"/>
      <c r="B809" s="19"/>
      <c r="C809" s="19"/>
      <c r="D809" s="19"/>
      <c r="E809" s="19"/>
    </row>
    <row r="810" spans="1:5" ht="13.5" customHeight="1">
      <c r="A810" s="19"/>
      <c r="B810" s="19"/>
      <c r="C810" s="19"/>
      <c r="D810" s="19"/>
      <c r="E810" s="19"/>
    </row>
    <row r="811" spans="1:5" ht="13.5" customHeight="1">
      <c r="A811" s="19"/>
      <c r="B811" s="19"/>
      <c r="C811" s="19"/>
      <c r="D811" s="19"/>
      <c r="E811" s="19"/>
    </row>
    <row r="812" spans="1:5" ht="13.5" customHeight="1">
      <c r="A812" s="19"/>
      <c r="B812" s="19"/>
      <c r="C812" s="19"/>
      <c r="D812" s="19"/>
      <c r="E812" s="19"/>
    </row>
    <row r="813" spans="1:5" ht="13.5" customHeight="1">
      <c r="A813" s="19"/>
      <c r="B813" s="19"/>
      <c r="C813" s="19"/>
      <c r="D813" s="19"/>
      <c r="E813" s="19"/>
    </row>
    <row r="814" spans="1:5" ht="13.5" customHeight="1">
      <c r="A814" s="19"/>
      <c r="B814" s="19"/>
      <c r="C814" s="19"/>
      <c r="D814" s="19"/>
      <c r="E814" s="19"/>
    </row>
    <row r="815" spans="1:5" ht="13.5" customHeight="1">
      <c r="A815" s="19"/>
      <c r="B815" s="19"/>
      <c r="C815" s="19"/>
      <c r="D815" s="19"/>
      <c r="E815" s="19"/>
    </row>
    <row r="816" spans="1:5" ht="13.5" customHeight="1">
      <c r="A816" s="19"/>
      <c r="B816" s="19"/>
      <c r="C816" s="19"/>
      <c r="D816" s="19"/>
      <c r="E816" s="19"/>
    </row>
    <row r="817" spans="1:5" ht="13.5" customHeight="1">
      <c r="A817" s="19"/>
      <c r="B817" s="19"/>
      <c r="C817" s="19"/>
      <c r="D817" s="19"/>
      <c r="E817" s="19"/>
    </row>
    <row r="818" spans="1:5" ht="13.5" customHeight="1">
      <c r="A818" s="19"/>
      <c r="B818" s="19"/>
      <c r="C818" s="19"/>
      <c r="D818" s="19"/>
      <c r="E818" s="19"/>
    </row>
    <row r="819" spans="1:5" ht="13.5" customHeight="1">
      <c r="A819" s="19"/>
      <c r="B819" s="19"/>
      <c r="C819" s="19"/>
      <c r="D819" s="19"/>
      <c r="E819" s="19"/>
    </row>
    <row r="820" spans="1:5" ht="13.5" customHeight="1">
      <c r="A820" s="19"/>
      <c r="B820" s="19"/>
      <c r="C820" s="19"/>
      <c r="D820" s="19"/>
      <c r="E820" s="19"/>
    </row>
    <row r="821" spans="1:5" ht="13.5" customHeight="1">
      <c r="A821" s="19"/>
      <c r="B821" s="19"/>
      <c r="C821" s="19"/>
      <c r="D821" s="19"/>
      <c r="E821" s="19"/>
    </row>
    <row r="822" spans="1:5" ht="13.5" customHeight="1">
      <c r="A822" s="19"/>
      <c r="B822" s="19"/>
      <c r="C822" s="19"/>
      <c r="D822" s="19"/>
      <c r="E822" s="19"/>
    </row>
    <row r="823" spans="1:5" ht="13.5" customHeight="1">
      <c r="A823" s="19"/>
      <c r="B823" s="19"/>
      <c r="C823" s="19"/>
      <c r="D823" s="19"/>
      <c r="E823" s="19"/>
    </row>
    <row r="824" spans="1:5" ht="13.5" customHeight="1">
      <c r="A824" s="19"/>
      <c r="B824" s="19"/>
      <c r="C824" s="19"/>
      <c r="D824" s="19"/>
      <c r="E824" s="19"/>
    </row>
    <row r="825" spans="1:5" ht="13.5" customHeight="1">
      <c r="A825" s="19"/>
      <c r="B825" s="19"/>
      <c r="C825" s="19"/>
      <c r="D825" s="19"/>
      <c r="E825" s="19"/>
    </row>
    <row r="826" spans="1:5" ht="13.5" customHeight="1">
      <c r="A826" s="19"/>
      <c r="B826" s="19"/>
      <c r="C826" s="19"/>
      <c r="D826" s="19"/>
      <c r="E826" s="19"/>
    </row>
    <row r="827" spans="1:5" ht="13.5" customHeight="1">
      <c r="A827" s="19"/>
      <c r="B827" s="19"/>
      <c r="C827" s="19"/>
      <c r="D827" s="19"/>
      <c r="E827" s="19"/>
    </row>
    <row r="828" spans="1:5" ht="13.5" customHeight="1">
      <c r="A828" s="19"/>
      <c r="B828" s="19"/>
      <c r="C828" s="19"/>
      <c r="D828" s="19"/>
      <c r="E828" s="19"/>
    </row>
    <row r="829" spans="1:5" ht="13.5" customHeight="1">
      <c r="A829" s="19"/>
      <c r="B829" s="19"/>
      <c r="C829" s="19"/>
      <c r="D829" s="19"/>
      <c r="E829" s="19"/>
    </row>
    <row r="830" spans="1:5" ht="13.5" customHeight="1">
      <c r="A830" s="19"/>
      <c r="B830" s="19"/>
      <c r="C830" s="19"/>
      <c r="D830" s="19"/>
      <c r="E830" s="19"/>
    </row>
    <row r="831" spans="1:5" ht="13.5" customHeight="1">
      <c r="A831" s="19"/>
      <c r="B831" s="19"/>
      <c r="C831" s="19"/>
      <c r="D831" s="19"/>
      <c r="E831" s="19"/>
    </row>
    <row r="832" spans="1:5" ht="13.5" customHeight="1">
      <c r="A832" s="19"/>
      <c r="B832" s="19"/>
      <c r="C832" s="19"/>
      <c r="D832" s="19"/>
      <c r="E832" s="19"/>
    </row>
    <row r="833" spans="1:5" ht="13.5" customHeight="1">
      <c r="A833" s="19"/>
      <c r="B833" s="19"/>
      <c r="C833" s="19"/>
      <c r="D833" s="19"/>
      <c r="E833" s="19"/>
    </row>
    <row r="834" spans="1:5" ht="13.5" customHeight="1">
      <c r="A834" s="19"/>
      <c r="B834" s="19"/>
      <c r="C834" s="19"/>
      <c r="D834" s="19"/>
      <c r="E834" s="19"/>
    </row>
    <row r="835" spans="1:5" ht="13.5" customHeight="1">
      <c r="A835" s="19"/>
      <c r="B835" s="19"/>
      <c r="C835" s="19"/>
      <c r="D835" s="19"/>
      <c r="E835" s="19"/>
    </row>
    <row r="836" spans="1:5" ht="13.5" customHeight="1">
      <c r="A836" s="19"/>
      <c r="B836" s="19"/>
      <c r="C836" s="19"/>
      <c r="D836" s="19"/>
      <c r="E836" s="19"/>
    </row>
    <row r="837" spans="1:5" ht="13.5" customHeight="1">
      <c r="A837" s="19"/>
      <c r="B837" s="19"/>
      <c r="C837" s="19"/>
      <c r="D837" s="19"/>
      <c r="E837" s="19"/>
    </row>
    <row r="838" spans="1:5" ht="13.5" customHeight="1">
      <c r="A838" s="19"/>
      <c r="B838" s="19"/>
      <c r="C838" s="19"/>
      <c r="D838" s="19"/>
      <c r="E838" s="19"/>
    </row>
    <row r="839" spans="1:5" ht="13.5" customHeight="1">
      <c r="A839" s="19"/>
      <c r="B839" s="19"/>
      <c r="C839" s="19"/>
      <c r="D839" s="19"/>
      <c r="E839" s="19"/>
    </row>
    <row r="840" spans="1:5" ht="13.5" customHeight="1">
      <c r="A840" s="19"/>
      <c r="B840" s="19"/>
      <c r="C840" s="19"/>
      <c r="D840" s="19"/>
      <c r="E840" s="19"/>
    </row>
    <row r="841" spans="1:5" ht="13.5" customHeight="1">
      <c r="A841" s="19"/>
      <c r="B841" s="19"/>
      <c r="C841" s="19"/>
      <c r="D841" s="19"/>
      <c r="E841" s="19"/>
    </row>
    <row r="842" spans="1:5" ht="13.5" customHeight="1">
      <c r="A842" s="19"/>
      <c r="B842" s="19"/>
      <c r="C842" s="19"/>
      <c r="D842" s="19"/>
      <c r="E842" s="19"/>
    </row>
    <row r="843" spans="1:5" ht="13.5" customHeight="1">
      <c r="A843" s="19"/>
      <c r="B843" s="19"/>
      <c r="C843" s="19"/>
      <c r="D843" s="19"/>
      <c r="E843" s="19"/>
    </row>
    <row r="844" spans="1:5" ht="13.5" customHeight="1">
      <c r="A844" s="19"/>
      <c r="B844" s="19"/>
      <c r="C844" s="19"/>
      <c r="D844" s="19"/>
      <c r="E844" s="19"/>
    </row>
    <row r="845" spans="1:5" ht="13.5" customHeight="1">
      <c r="A845" s="19"/>
      <c r="B845" s="19"/>
      <c r="C845" s="19"/>
      <c r="D845" s="19"/>
      <c r="E845" s="19"/>
    </row>
    <row r="846" spans="1:5" ht="13.5" customHeight="1">
      <c r="A846" s="19"/>
      <c r="B846" s="19"/>
      <c r="C846" s="19"/>
      <c r="D846" s="19"/>
      <c r="E846" s="19"/>
    </row>
    <row r="847" spans="1:5" ht="13.5" customHeight="1">
      <c r="A847" s="19"/>
      <c r="B847" s="19"/>
      <c r="C847" s="19"/>
      <c r="D847" s="19"/>
      <c r="E847" s="19"/>
    </row>
    <row r="848" spans="1:5" ht="13.5" customHeight="1">
      <c r="A848" s="19"/>
      <c r="B848" s="19"/>
      <c r="C848" s="19"/>
      <c r="D848" s="19"/>
      <c r="E848" s="19"/>
    </row>
    <row r="849" spans="1:5" ht="13.5" customHeight="1">
      <c r="A849" s="19"/>
      <c r="B849" s="19"/>
      <c r="C849" s="19"/>
      <c r="D849" s="19"/>
      <c r="E849" s="19"/>
    </row>
    <row r="850" spans="1:5" ht="13.5" customHeight="1">
      <c r="A850" s="19"/>
      <c r="B850" s="19"/>
      <c r="C850" s="19"/>
      <c r="D850" s="19"/>
      <c r="E850" s="19"/>
    </row>
    <row r="851" spans="1:5" ht="13.5" customHeight="1">
      <c r="A851" s="19"/>
      <c r="B851" s="19"/>
      <c r="C851" s="19"/>
      <c r="D851" s="19"/>
      <c r="E851" s="19"/>
    </row>
    <row r="852" spans="1:5" ht="13.5" customHeight="1">
      <c r="A852" s="19"/>
      <c r="B852" s="19"/>
      <c r="C852" s="19"/>
      <c r="D852" s="19"/>
      <c r="E852" s="19"/>
    </row>
    <row r="853" spans="1:5" ht="13.5" customHeight="1">
      <c r="A853" s="19"/>
      <c r="B853" s="19"/>
      <c r="C853" s="19"/>
      <c r="D853" s="19"/>
      <c r="E853" s="19"/>
    </row>
    <row r="854" spans="1:5" ht="13.5" customHeight="1">
      <c r="A854" s="19"/>
      <c r="B854" s="19"/>
      <c r="C854" s="19"/>
      <c r="D854" s="19"/>
      <c r="E854" s="19"/>
    </row>
    <row r="855" spans="1:5" ht="13.5" customHeight="1">
      <c r="A855" s="19"/>
      <c r="B855" s="19"/>
      <c r="C855" s="19"/>
      <c r="D855" s="19"/>
      <c r="E855" s="19"/>
    </row>
    <row r="856" spans="1:5" ht="13.5" customHeight="1">
      <c r="A856" s="19"/>
      <c r="B856" s="19"/>
      <c r="C856" s="19"/>
      <c r="D856" s="19"/>
      <c r="E856" s="19"/>
    </row>
    <row r="857" spans="1:5" ht="13.5" customHeight="1">
      <c r="A857" s="19"/>
      <c r="B857" s="19"/>
      <c r="C857" s="19"/>
      <c r="D857" s="19"/>
      <c r="E857" s="19"/>
    </row>
    <row r="858" spans="1:5" ht="13.5" customHeight="1">
      <c r="A858" s="19"/>
      <c r="B858" s="19"/>
      <c r="C858" s="19"/>
      <c r="D858" s="19"/>
      <c r="E858" s="19"/>
    </row>
    <row r="859" spans="1:5" ht="13.5" customHeight="1">
      <c r="A859" s="19"/>
      <c r="B859" s="19"/>
      <c r="C859" s="19"/>
      <c r="D859" s="19"/>
      <c r="E859" s="19"/>
    </row>
    <row r="860" spans="1:5" ht="13.5" customHeight="1">
      <c r="A860" s="19"/>
      <c r="B860" s="19"/>
      <c r="C860" s="19"/>
      <c r="D860" s="19"/>
      <c r="E860" s="19"/>
    </row>
    <row r="861" spans="1:5" ht="13.5" customHeight="1">
      <c r="A861" s="19"/>
      <c r="B861" s="19"/>
      <c r="C861" s="19"/>
      <c r="D861" s="19"/>
      <c r="E861" s="19"/>
    </row>
    <row r="862" spans="1:5" ht="13.5" customHeight="1">
      <c r="A862" s="19"/>
      <c r="B862" s="19"/>
      <c r="C862" s="19"/>
      <c r="D862" s="19"/>
      <c r="E862" s="19"/>
    </row>
    <row r="863" spans="1:5" ht="13.5" customHeight="1">
      <c r="A863" s="19"/>
      <c r="B863" s="19"/>
      <c r="C863" s="19"/>
      <c r="D863" s="19"/>
      <c r="E863" s="19"/>
    </row>
    <row r="864" spans="1:5" ht="13.5" customHeight="1">
      <c r="A864" s="19"/>
      <c r="B864" s="19"/>
      <c r="C864" s="19"/>
      <c r="D864" s="19"/>
      <c r="E864" s="19"/>
    </row>
    <row r="865" spans="1:5" ht="13.5" customHeight="1">
      <c r="A865" s="19"/>
      <c r="B865" s="19"/>
      <c r="C865" s="19"/>
      <c r="D865" s="19"/>
      <c r="E865" s="19"/>
    </row>
    <row r="866" spans="1:5" ht="13.5" customHeight="1">
      <c r="A866" s="19"/>
      <c r="B866" s="19"/>
      <c r="C866" s="19"/>
      <c r="D866" s="19"/>
      <c r="E866" s="19"/>
    </row>
    <row r="867" spans="1:5" ht="13.5" customHeight="1">
      <c r="A867" s="19"/>
      <c r="B867" s="19"/>
      <c r="C867" s="19"/>
      <c r="D867" s="19"/>
      <c r="E867" s="19"/>
    </row>
    <row r="868" spans="1:5" ht="13.5" customHeight="1">
      <c r="A868" s="19"/>
      <c r="B868" s="19"/>
      <c r="C868" s="19"/>
      <c r="D868" s="19"/>
      <c r="E868" s="19"/>
    </row>
    <row r="869" spans="1:5" ht="13.5" customHeight="1">
      <c r="A869" s="19"/>
      <c r="B869" s="19"/>
      <c r="C869" s="19"/>
      <c r="D869" s="19"/>
      <c r="E869" s="19"/>
    </row>
    <row r="870" spans="1:5" ht="13.5" customHeight="1">
      <c r="A870" s="19"/>
      <c r="B870" s="19"/>
      <c r="C870" s="19"/>
      <c r="D870" s="19"/>
      <c r="E870" s="19"/>
    </row>
    <row r="871" spans="1:5" ht="13.5" customHeight="1">
      <c r="A871" s="19"/>
      <c r="B871" s="19"/>
      <c r="C871" s="19"/>
      <c r="D871" s="19"/>
      <c r="E871" s="19"/>
    </row>
    <row r="872" spans="1:5" ht="13.5" customHeight="1">
      <c r="A872" s="19"/>
      <c r="B872" s="19"/>
      <c r="C872" s="19"/>
      <c r="D872" s="19"/>
      <c r="E872" s="19"/>
    </row>
    <row r="873" spans="1:5" ht="13.5" customHeight="1">
      <c r="A873" s="19"/>
      <c r="B873" s="19"/>
      <c r="C873" s="19"/>
      <c r="D873" s="19"/>
      <c r="E873" s="19"/>
    </row>
    <row r="874" spans="1:5" ht="13.5" customHeight="1">
      <c r="A874" s="19"/>
      <c r="B874" s="19"/>
      <c r="C874" s="19"/>
      <c r="D874" s="19"/>
      <c r="E874" s="19"/>
    </row>
    <row r="875" spans="1:5" ht="13.5" customHeight="1">
      <c r="A875" s="19"/>
      <c r="B875" s="19"/>
      <c r="C875" s="19"/>
      <c r="D875" s="19"/>
      <c r="E875" s="19"/>
    </row>
    <row r="876" spans="1:5" ht="13.5" customHeight="1">
      <c r="A876" s="19"/>
      <c r="B876" s="19"/>
      <c r="C876" s="19"/>
      <c r="D876" s="19"/>
      <c r="E876" s="19"/>
    </row>
    <row r="877" spans="1:5" ht="13.5" customHeight="1">
      <c r="A877" s="19"/>
      <c r="B877" s="19"/>
      <c r="C877" s="19"/>
      <c r="D877" s="19"/>
      <c r="E877" s="19"/>
    </row>
    <row r="878" spans="1:5" ht="13.5" customHeight="1">
      <c r="A878" s="19"/>
      <c r="B878" s="19"/>
      <c r="C878" s="19"/>
      <c r="D878" s="19"/>
      <c r="E878" s="19"/>
    </row>
    <row r="879" spans="1:5" ht="13.5" customHeight="1">
      <c r="A879" s="19"/>
      <c r="B879" s="19"/>
      <c r="C879" s="19"/>
      <c r="D879" s="19"/>
      <c r="E879" s="19"/>
    </row>
    <row r="880" spans="1:5" ht="13.5" customHeight="1">
      <c r="A880" s="19"/>
      <c r="B880" s="19"/>
      <c r="C880" s="19"/>
      <c r="D880" s="19"/>
      <c r="E880" s="19"/>
    </row>
    <row r="881" spans="1:5" ht="13.5" customHeight="1">
      <c r="A881" s="19"/>
      <c r="B881" s="19"/>
      <c r="C881" s="19"/>
      <c r="D881" s="19"/>
      <c r="E881" s="19"/>
    </row>
    <row r="882" spans="1:5" ht="13.5" customHeight="1">
      <c r="A882" s="19"/>
      <c r="B882" s="19"/>
      <c r="C882" s="19"/>
      <c r="D882" s="19"/>
      <c r="E882" s="19"/>
    </row>
    <row r="883" spans="1:5" ht="13.5" customHeight="1">
      <c r="A883" s="19"/>
      <c r="B883" s="19"/>
      <c r="C883" s="19"/>
      <c r="D883" s="19"/>
      <c r="E883" s="19"/>
    </row>
    <row r="884" spans="1:5" ht="13.5" customHeight="1">
      <c r="A884" s="19"/>
      <c r="B884" s="19"/>
      <c r="C884" s="19"/>
      <c r="D884" s="19"/>
      <c r="E884" s="19"/>
    </row>
    <row r="885" spans="1:5" ht="13.5" customHeight="1">
      <c r="A885" s="19"/>
      <c r="B885" s="19"/>
      <c r="C885" s="19"/>
      <c r="D885" s="19"/>
      <c r="E885" s="19"/>
    </row>
    <row r="886" spans="1:5" ht="13.5" customHeight="1">
      <c r="A886" s="19"/>
      <c r="B886" s="19"/>
      <c r="C886" s="19"/>
      <c r="D886" s="19"/>
      <c r="E886" s="19"/>
    </row>
    <row r="887" spans="1:5" ht="13.5" customHeight="1">
      <c r="A887" s="19"/>
      <c r="B887" s="19"/>
      <c r="C887" s="19"/>
      <c r="D887" s="19"/>
      <c r="E887" s="19"/>
    </row>
    <row r="888" spans="1:5" ht="13.5" customHeight="1">
      <c r="A888" s="19"/>
      <c r="B888" s="19"/>
      <c r="C888" s="19"/>
      <c r="D888" s="19"/>
      <c r="E888" s="19"/>
    </row>
    <row r="889" spans="1:5" ht="13.5" customHeight="1">
      <c r="A889" s="19"/>
      <c r="B889" s="19"/>
      <c r="C889" s="19"/>
      <c r="D889" s="19"/>
      <c r="E889" s="19"/>
    </row>
    <row r="890" spans="1:5" ht="13.5" customHeight="1">
      <c r="A890" s="19"/>
      <c r="B890" s="19"/>
      <c r="C890" s="19"/>
      <c r="D890" s="19"/>
      <c r="E890" s="19"/>
    </row>
    <row r="891" spans="1:5" ht="13.5" customHeight="1">
      <c r="A891" s="19"/>
      <c r="B891" s="19"/>
      <c r="C891" s="19"/>
      <c r="D891" s="19"/>
      <c r="E891" s="19"/>
    </row>
    <row r="892" spans="1:5" ht="13.5" customHeight="1">
      <c r="A892" s="19"/>
      <c r="B892" s="19"/>
      <c r="C892" s="19"/>
      <c r="D892" s="19"/>
      <c r="E892" s="19"/>
    </row>
    <row r="893" spans="1:5" ht="13.5" customHeight="1">
      <c r="A893" s="19"/>
      <c r="B893" s="19"/>
      <c r="C893" s="19"/>
      <c r="D893" s="19"/>
      <c r="E893" s="19"/>
    </row>
    <row r="894" spans="1:5" ht="13.5" customHeight="1">
      <c r="A894" s="19"/>
      <c r="B894" s="19"/>
      <c r="C894" s="19"/>
      <c r="D894" s="19"/>
      <c r="E894" s="19"/>
    </row>
    <row r="895" spans="1:5" ht="13.5" customHeight="1">
      <c r="A895" s="19"/>
      <c r="B895" s="19"/>
      <c r="C895" s="19"/>
      <c r="D895" s="19"/>
      <c r="E895" s="19"/>
    </row>
    <row r="896" spans="1:5" ht="13.5" customHeight="1">
      <c r="A896" s="19"/>
      <c r="B896" s="85"/>
      <c r="C896" s="19"/>
      <c r="D896" s="19"/>
      <c r="E896" s="19"/>
    </row>
  </sheetData>
  <pageMargins left="0.7" right="0.7" top="0.75" bottom="0.75" header="0.3" footer="0.3"/>
  <pageSetup orientation="portrait"/>
  <headerFooter>
    <oddFooter>&amp;C&amp;"Helvetica Neue,Regular"&amp;12&amp;K000000&amp;P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07"/>
  <sheetViews>
    <sheetView showGridLines="0" workbookViewId="0"/>
  </sheetViews>
  <sheetFormatPr baseColWidth="10" defaultColWidth="9.1640625" defaultRowHeight="10.5" customHeight="1"/>
  <cols>
    <col min="1" max="1" width="22.6640625" style="4" customWidth="1"/>
    <col min="2" max="2" width="11.5" style="4" customWidth="1"/>
    <col min="3" max="3" width="9.6640625" style="4" customWidth="1"/>
    <col min="4" max="4" width="8.5" style="4" customWidth="1"/>
    <col min="5" max="5" width="7.1640625" style="4" customWidth="1"/>
    <col min="6" max="7" width="11.6640625" style="4" customWidth="1"/>
    <col min="8" max="8" width="10.6640625" style="4" customWidth="1"/>
    <col min="9" max="9" width="9.1640625" style="4" customWidth="1"/>
    <col min="10" max="16384" width="9.1640625" style="4"/>
  </cols>
  <sheetData>
    <row r="1" spans="1:8" ht="10.5" customHeight="1">
      <c r="A1" s="395" t="s">
        <v>886</v>
      </c>
      <c r="B1" s="395" t="s">
        <v>887</v>
      </c>
      <c r="C1" s="395" t="s">
        <v>888</v>
      </c>
      <c r="D1" s="395" t="s">
        <v>889</v>
      </c>
      <c r="E1" s="395" t="s">
        <v>891</v>
      </c>
      <c r="F1" s="395" t="s">
        <v>892</v>
      </c>
      <c r="G1" s="395" t="s">
        <v>267</v>
      </c>
      <c r="H1" s="395" t="s">
        <v>407</v>
      </c>
    </row>
    <row r="2" spans="1:8" ht="11.25" customHeight="1">
      <c r="A2" s="395" t="s">
        <v>1962</v>
      </c>
      <c r="B2" s="396">
        <v>41281</v>
      </c>
      <c r="C2" s="395" t="s">
        <v>910</v>
      </c>
      <c r="D2" s="395" t="s">
        <v>1240</v>
      </c>
      <c r="E2" s="397">
        <v>446.73</v>
      </c>
      <c r="F2" s="397">
        <v>2030530</v>
      </c>
      <c r="G2" s="397">
        <v>2044355</v>
      </c>
      <c r="H2" s="397">
        <v>-13825</v>
      </c>
    </row>
    <row r="3" spans="1:8" ht="11.25" customHeight="1">
      <c r="A3" s="395" t="s">
        <v>943</v>
      </c>
      <c r="B3" s="396">
        <v>41285</v>
      </c>
      <c r="C3" s="395" t="s">
        <v>910</v>
      </c>
      <c r="D3" s="395" t="s">
        <v>944</v>
      </c>
      <c r="E3" s="397">
        <v>446.73</v>
      </c>
      <c r="F3" s="397">
        <v>2498426</v>
      </c>
      <c r="G3" s="397">
        <v>2510803</v>
      </c>
      <c r="H3" s="397">
        <v>-12377</v>
      </c>
    </row>
    <row r="4" spans="1:8" ht="11.25" customHeight="1">
      <c r="A4" s="395" t="s">
        <v>949</v>
      </c>
      <c r="B4" s="396">
        <v>41286</v>
      </c>
      <c r="C4" s="395" t="s">
        <v>895</v>
      </c>
      <c r="D4" s="395" t="s">
        <v>950</v>
      </c>
      <c r="E4" s="397">
        <v>446.73</v>
      </c>
      <c r="F4" s="397">
        <v>2605529</v>
      </c>
      <c r="G4" s="397">
        <v>2528177</v>
      </c>
      <c r="H4" s="397">
        <v>77352</v>
      </c>
    </row>
    <row r="5" spans="1:8" ht="11.25" customHeight="1">
      <c r="A5" s="395" t="s">
        <v>1963</v>
      </c>
      <c r="B5" s="396">
        <v>41289</v>
      </c>
      <c r="C5" s="395" t="s">
        <v>895</v>
      </c>
      <c r="D5" s="395" t="s">
        <v>1229</v>
      </c>
      <c r="E5" s="397">
        <v>446.73</v>
      </c>
      <c r="F5" s="397">
        <v>2005530</v>
      </c>
      <c r="G5" s="397">
        <v>1983195</v>
      </c>
      <c r="H5" s="397">
        <v>22335</v>
      </c>
    </row>
    <row r="6" spans="1:8" ht="11.25" customHeight="1">
      <c r="A6" s="395" t="s">
        <v>1964</v>
      </c>
      <c r="B6" s="396">
        <v>41289</v>
      </c>
      <c r="C6" s="395" t="s">
        <v>895</v>
      </c>
      <c r="D6" s="395" t="s">
        <v>1145</v>
      </c>
      <c r="E6" s="397">
        <v>446.73</v>
      </c>
      <c r="F6" s="397">
        <v>2005530</v>
      </c>
      <c r="G6" s="397">
        <v>1983193</v>
      </c>
      <c r="H6" s="397">
        <v>22337</v>
      </c>
    </row>
    <row r="7" spans="1:8" ht="11.25" customHeight="1">
      <c r="A7" s="395" t="s">
        <v>996</v>
      </c>
      <c r="B7" s="396">
        <v>41302</v>
      </c>
      <c r="C7" s="395" t="s">
        <v>910</v>
      </c>
      <c r="D7" s="395" t="s">
        <v>997</v>
      </c>
      <c r="E7" s="397">
        <v>446.73</v>
      </c>
      <c r="F7" s="397">
        <v>2699343</v>
      </c>
      <c r="G7" s="397">
        <v>2565436</v>
      </c>
      <c r="H7" s="397">
        <v>133907</v>
      </c>
    </row>
    <row r="8" spans="1:8" ht="11.25" customHeight="1">
      <c r="A8" s="395" t="s">
        <v>1965</v>
      </c>
      <c r="B8" s="398">
        <v>41318</v>
      </c>
      <c r="C8" s="395" t="s">
        <v>1173</v>
      </c>
      <c r="D8" s="395" t="s">
        <v>1240</v>
      </c>
      <c r="E8" s="397">
        <v>447</v>
      </c>
      <c r="F8" s="397">
        <v>1526356</v>
      </c>
      <c r="G8" s="397">
        <v>501697</v>
      </c>
      <c r="H8" s="397">
        <v>1024659</v>
      </c>
    </row>
    <row r="9" spans="1:8" ht="11.25" customHeight="1">
      <c r="A9" s="395" t="s">
        <v>1966</v>
      </c>
      <c r="B9" s="396">
        <v>41358</v>
      </c>
      <c r="C9" s="395" t="s">
        <v>1013</v>
      </c>
      <c r="D9" s="395" t="s">
        <v>992</v>
      </c>
      <c r="E9" s="397">
        <v>446.73</v>
      </c>
      <c r="F9" s="397">
        <v>2180669</v>
      </c>
      <c r="G9" s="397">
        <v>2158374</v>
      </c>
      <c r="H9" s="397">
        <v>22295</v>
      </c>
    </row>
    <row r="10" spans="1:8" ht="11.25" customHeight="1">
      <c r="A10" s="395" t="s">
        <v>1030</v>
      </c>
      <c r="B10" s="396">
        <v>41363</v>
      </c>
      <c r="C10" s="395" t="s">
        <v>910</v>
      </c>
      <c r="D10" s="395" t="s">
        <v>1031</v>
      </c>
      <c r="E10" s="397">
        <v>446.73</v>
      </c>
      <c r="F10" s="397">
        <v>2609997</v>
      </c>
      <c r="G10" s="397">
        <v>2622813</v>
      </c>
      <c r="H10" s="397">
        <v>-12816</v>
      </c>
    </row>
    <row r="11" spans="1:8" ht="11.25" customHeight="1">
      <c r="A11" s="395" t="s">
        <v>1967</v>
      </c>
      <c r="B11" s="396">
        <v>41422</v>
      </c>
      <c r="C11" s="395" t="s">
        <v>1076</v>
      </c>
      <c r="D11" s="395" t="s">
        <v>1092</v>
      </c>
      <c r="E11" s="397">
        <v>446.73</v>
      </c>
      <c r="F11" s="397">
        <v>1111445</v>
      </c>
      <c r="G11" s="397">
        <v>1089107</v>
      </c>
      <c r="H11" s="397">
        <v>22338</v>
      </c>
    </row>
    <row r="12" spans="1:8" ht="11.25" customHeight="1">
      <c r="A12" s="395" t="s">
        <v>1968</v>
      </c>
      <c r="B12" s="398">
        <v>41482</v>
      </c>
      <c r="C12" s="395" t="s">
        <v>1091</v>
      </c>
      <c r="D12" s="395" t="s">
        <v>1014</v>
      </c>
      <c r="E12" s="397">
        <v>447</v>
      </c>
      <c r="F12" s="397">
        <v>1523277</v>
      </c>
      <c r="G12" s="397">
        <v>1510574</v>
      </c>
      <c r="H12" s="397">
        <v>12703</v>
      </c>
    </row>
    <row r="13" spans="1:8" ht="11.25" customHeight="1">
      <c r="A13" s="395" t="s">
        <v>1969</v>
      </c>
      <c r="B13" s="396">
        <v>41510</v>
      </c>
      <c r="C13" s="395" t="s">
        <v>1091</v>
      </c>
      <c r="D13" s="395" t="s">
        <v>924</v>
      </c>
      <c r="E13" s="397">
        <v>446.73</v>
      </c>
      <c r="F13" s="397">
        <v>2200483</v>
      </c>
      <c r="G13" s="397">
        <v>2075178</v>
      </c>
      <c r="H13" s="397">
        <v>125305</v>
      </c>
    </row>
    <row r="14" spans="1:8" ht="11.25" customHeight="1">
      <c r="A14" s="395" t="s">
        <v>1126</v>
      </c>
      <c r="B14" s="398">
        <v>41531</v>
      </c>
      <c r="C14" s="395" t="s">
        <v>1127</v>
      </c>
      <c r="D14" s="395" t="s">
        <v>1014</v>
      </c>
      <c r="E14" s="397">
        <v>298</v>
      </c>
      <c r="F14" s="397">
        <v>1955114</v>
      </c>
      <c r="G14" s="397">
        <v>1844489</v>
      </c>
      <c r="H14" s="397">
        <v>110625</v>
      </c>
    </row>
    <row r="15" spans="1:8" ht="11.25" customHeight="1">
      <c r="A15" s="395" t="s">
        <v>1132</v>
      </c>
      <c r="B15" s="396">
        <v>41539</v>
      </c>
      <c r="C15" s="395" t="s">
        <v>1076</v>
      </c>
      <c r="D15" s="395" t="s">
        <v>1000</v>
      </c>
      <c r="E15" s="397">
        <v>446.73</v>
      </c>
      <c r="F15" s="397">
        <v>2878572</v>
      </c>
      <c r="G15" s="397">
        <v>2908783</v>
      </c>
      <c r="H15" s="397">
        <v>-30211</v>
      </c>
    </row>
    <row r="16" spans="1:8" ht="11.25" customHeight="1">
      <c r="A16" s="395" t="s">
        <v>1138</v>
      </c>
      <c r="B16" s="396">
        <v>41551</v>
      </c>
      <c r="C16" s="395" t="s">
        <v>1109</v>
      </c>
      <c r="D16" s="395" t="s">
        <v>1053</v>
      </c>
      <c r="E16" s="397">
        <v>712.49</v>
      </c>
      <c r="F16" s="397">
        <v>4388762</v>
      </c>
      <c r="G16" s="397">
        <v>4156311</v>
      </c>
      <c r="H16" s="397">
        <v>232451</v>
      </c>
    </row>
    <row r="17" spans="1:8" ht="11.25" customHeight="1">
      <c r="A17" s="395" t="s">
        <v>1168</v>
      </c>
      <c r="B17" s="396">
        <v>41594</v>
      </c>
      <c r="C17" s="395" t="s">
        <v>1076</v>
      </c>
      <c r="D17" s="395" t="s">
        <v>1041</v>
      </c>
      <c r="E17" s="397">
        <v>446.73</v>
      </c>
      <c r="F17" s="397">
        <v>3076807</v>
      </c>
      <c r="G17" s="397">
        <v>2932352</v>
      </c>
      <c r="H17" s="397">
        <v>144455</v>
      </c>
    </row>
    <row r="18" spans="1:8" ht="11.25" customHeight="1">
      <c r="A18" s="395" t="s">
        <v>1172</v>
      </c>
      <c r="B18" s="396">
        <v>41605</v>
      </c>
      <c r="C18" s="395" t="s">
        <v>1173</v>
      </c>
      <c r="D18" s="395" t="s">
        <v>911</v>
      </c>
      <c r="E18" s="397">
        <v>446.73</v>
      </c>
      <c r="F18" s="397">
        <v>2537836</v>
      </c>
      <c r="G18" s="397">
        <v>2515499</v>
      </c>
      <c r="H18" s="397">
        <v>22337</v>
      </c>
    </row>
    <row r="19" spans="1:8" ht="11.25" customHeight="1">
      <c r="A19" s="395" t="s">
        <v>1728</v>
      </c>
      <c r="B19" s="396">
        <v>41606</v>
      </c>
      <c r="C19" s="395" t="s">
        <v>1076</v>
      </c>
      <c r="D19" s="395" t="s">
        <v>1157</v>
      </c>
      <c r="E19" s="397">
        <v>446.73</v>
      </c>
      <c r="F19" s="397">
        <v>1473092</v>
      </c>
      <c r="G19" s="397">
        <v>1451028</v>
      </c>
      <c r="H19" s="397">
        <v>22064</v>
      </c>
    </row>
    <row r="20" spans="1:8" ht="11.25" customHeight="1">
      <c r="A20" s="395" t="s">
        <v>1198</v>
      </c>
      <c r="B20" s="398">
        <v>41649</v>
      </c>
      <c r="C20" s="395" t="s">
        <v>1173</v>
      </c>
      <c r="D20" s="395" t="s">
        <v>975</v>
      </c>
      <c r="E20" s="397">
        <v>447</v>
      </c>
      <c r="F20" s="397">
        <v>2921504</v>
      </c>
      <c r="G20" s="397">
        <v>2898524</v>
      </c>
      <c r="H20" s="397">
        <v>22980</v>
      </c>
    </row>
    <row r="21" spans="1:8" ht="11.25" customHeight="1">
      <c r="A21" s="395" t="s">
        <v>1203</v>
      </c>
      <c r="B21" s="396">
        <v>41657</v>
      </c>
      <c r="C21" s="395" t="s">
        <v>1173</v>
      </c>
      <c r="D21" s="395" t="s">
        <v>1204</v>
      </c>
      <c r="E21" s="397">
        <v>446.73</v>
      </c>
      <c r="F21" s="397">
        <v>2658156</v>
      </c>
      <c r="G21" s="397">
        <v>2510358</v>
      </c>
      <c r="H21" s="397">
        <v>147798</v>
      </c>
    </row>
    <row r="22" spans="1:8" ht="11.25" customHeight="1">
      <c r="A22" s="395" t="s">
        <v>1220</v>
      </c>
      <c r="B22" s="396">
        <v>41677</v>
      </c>
      <c r="C22" s="395" t="s">
        <v>1148</v>
      </c>
      <c r="D22" s="395" t="s">
        <v>933</v>
      </c>
      <c r="E22" s="397">
        <v>297.82</v>
      </c>
      <c r="F22" s="397">
        <v>2053007</v>
      </c>
      <c r="G22" s="397">
        <v>2086745</v>
      </c>
      <c r="H22" s="397">
        <v>-33738</v>
      </c>
    </row>
    <row r="23" spans="1:8" ht="11.25" customHeight="1">
      <c r="A23" s="395" t="s">
        <v>1970</v>
      </c>
      <c r="B23" s="396">
        <v>41678</v>
      </c>
      <c r="C23" s="395" t="s">
        <v>1148</v>
      </c>
      <c r="D23" s="395" t="s">
        <v>1025</v>
      </c>
      <c r="E23" s="397">
        <v>297.82</v>
      </c>
      <c r="F23" s="397">
        <v>1359886</v>
      </c>
      <c r="G23" s="397">
        <v>1344994</v>
      </c>
      <c r="H23" s="397">
        <v>14892</v>
      </c>
    </row>
    <row r="24" spans="1:8" ht="11.25" customHeight="1">
      <c r="A24" s="395" t="s">
        <v>1222</v>
      </c>
      <c r="B24" s="396">
        <v>41684</v>
      </c>
      <c r="C24" s="395" t="s">
        <v>1173</v>
      </c>
      <c r="D24" s="395" t="s">
        <v>1116</v>
      </c>
      <c r="E24" s="397">
        <v>446.73</v>
      </c>
      <c r="F24" s="397">
        <v>2656356</v>
      </c>
      <c r="G24" s="397">
        <v>2500000</v>
      </c>
      <c r="H24" s="397">
        <v>156356</v>
      </c>
    </row>
    <row r="25" spans="1:8" ht="11.25" customHeight="1">
      <c r="A25" s="395" t="s">
        <v>1971</v>
      </c>
      <c r="B25" s="398">
        <v>41723</v>
      </c>
      <c r="C25" s="395" t="s">
        <v>1109</v>
      </c>
      <c r="D25" s="395" t="s">
        <v>896</v>
      </c>
      <c r="E25" s="397">
        <v>950</v>
      </c>
      <c r="F25" s="397">
        <v>1961376</v>
      </c>
      <c r="G25" s="397">
        <v>1929034</v>
      </c>
      <c r="H25" s="397">
        <v>32342</v>
      </c>
    </row>
    <row r="26" spans="1:8" ht="11.25" customHeight="1">
      <c r="A26" s="395" t="s">
        <v>1259</v>
      </c>
      <c r="B26" s="396">
        <v>41765</v>
      </c>
      <c r="C26" s="395" t="s">
        <v>1239</v>
      </c>
      <c r="D26" s="395" t="s">
        <v>997</v>
      </c>
      <c r="E26" s="397">
        <v>446.73</v>
      </c>
      <c r="F26" s="397">
        <v>3091856</v>
      </c>
      <c r="G26" s="397">
        <v>3038342</v>
      </c>
      <c r="H26" s="397">
        <v>53514</v>
      </c>
    </row>
    <row r="27" spans="1:8" ht="11.25" customHeight="1">
      <c r="A27" s="395" t="s">
        <v>1363</v>
      </c>
      <c r="B27" s="396">
        <v>41961</v>
      </c>
      <c r="C27" s="395" t="s">
        <v>1302</v>
      </c>
      <c r="D27" s="395" t="s">
        <v>1364</v>
      </c>
      <c r="E27" s="397">
        <v>446.73</v>
      </c>
      <c r="F27" s="397">
        <v>2731356</v>
      </c>
      <c r="G27" s="397">
        <v>2576982</v>
      </c>
      <c r="H27" s="397">
        <v>154374</v>
      </c>
    </row>
    <row r="28" spans="1:8" ht="11.25" customHeight="1">
      <c r="A28" s="395" t="s">
        <v>1370</v>
      </c>
      <c r="B28" s="398">
        <v>41996</v>
      </c>
      <c r="C28" s="395" t="s">
        <v>1099</v>
      </c>
      <c r="D28" s="395" t="s">
        <v>1371</v>
      </c>
      <c r="E28" s="397">
        <v>919</v>
      </c>
      <c r="F28" s="397">
        <v>5121692</v>
      </c>
      <c r="G28" s="397">
        <v>4628380</v>
      </c>
      <c r="H28" s="397">
        <v>493312</v>
      </c>
    </row>
    <row r="29" spans="1:8" ht="11.25" customHeight="1">
      <c r="A29" s="395" t="s">
        <v>1972</v>
      </c>
      <c r="B29" s="398">
        <v>42018</v>
      </c>
      <c r="C29" s="395" t="s">
        <v>1130</v>
      </c>
      <c r="D29" s="395" t="s">
        <v>1145</v>
      </c>
      <c r="E29" s="397">
        <v>298</v>
      </c>
      <c r="F29" s="397">
        <v>504237</v>
      </c>
      <c r="G29" s="397">
        <v>488957</v>
      </c>
      <c r="H29" s="397">
        <v>15280</v>
      </c>
    </row>
    <row r="30" spans="1:8" ht="11.25" customHeight="1">
      <c r="A30" s="395" t="s">
        <v>1973</v>
      </c>
      <c r="B30" s="396">
        <v>42059</v>
      </c>
      <c r="C30" s="395" t="s">
        <v>1148</v>
      </c>
      <c r="D30" s="395" t="s">
        <v>1974</v>
      </c>
      <c r="E30" s="397">
        <v>473.51</v>
      </c>
      <c r="F30" s="397">
        <v>1703330</v>
      </c>
      <c r="G30" s="397">
        <v>1679652</v>
      </c>
      <c r="H30" s="397">
        <v>23678</v>
      </c>
    </row>
    <row r="31" spans="1:8" ht="11.25" customHeight="1">
      <c r="A31" s="395" t="s">
        <v>903</v>
      </c>
      <c r="B31" s="396">
        <v>42084</v>
      </c>
      <c r="C31" s="395" t="s">
        <v>1127</v>
      </c>
      <c r="D31" s="395" t="s">
        <v>1393</v>
      </c>
      <c r="E31" s="397">
        <v>461.38</v>
      </c>
      <c r="F31" s="397">
        <v>3158146</v>
      </c>
      <c r="G31" s="397">
        <v>2985243</v>
      </c>
      <c r="H31" s="397">
        <v>172903</v>
      </c>
    </row>
    <row r="32" spans="1:8" ht="11.25" customHeight="1">
      <c r="A32" s="395" t="s">
        <v>1402</v>
      </c>
      <c r="B32" s="396">
        <v>42135</v>
      </c>
      <c r="C32" s="395" t="s">
        <v>1239</v>
      </c>
      <c r="D32" s="395" t="s">
        <v>1086</v>
      </c>
      <c r="E32" s="397">
        <v>446.73</v>
      </c>
      <c r="F32" s="397">
        <v>3106356</v>
      </c>
      <c r="G32" s="397">
        <v>2962624</v>
      </c>
      <c r="H32" s="397">
        <v>143732</v>
      </c>
    </row>
    <row r="33" spans="1:8" ht="11.25" customHeight="1">
      <c r="A33" s="395" t="s">
        <v>1407</v>
      </c>
      <c r="B33" s="396">
        <v>42160</v>
      </c>
      <c r="C33" s="395" t="s">
        <v>1130</v>
      </c>
      <c r="D33" s="395" t="s">
        <v>1408</v>
      </c>
      <c r="E33" s="397">
        <v>461.38</v>
      </c>
      <c r="F33" s="397">
        <v>3098212</v>
      </c>
      <c r="G33" s="397">
        <v>2781467</v>
      </c>
      <c r="H33" s="397">
        <v>316745</v>
      </c>
    </row>
    <row r="34" spans="1:8" ht="11.25" customHeight="1">
      <c r="A34" s="395" t="s">
        <v>1415</v>
      </c>
      <c r="B34" s="396">
        <v>42213</v>
      </c>
      <c r="C34" s="395" t="s">
        <v>1127</v>
      </c>
      <c r="D34" s="395" t="s">
        <v>1416</v>
      </c>
      <c r="E34" s="397">
        <v>461.38</v>
      </c>
      <c r="F34" s="397">
        <v>2357260</v>
      </c>
      <c r="G34" s="397">
        <v>2330673</v>
      </c>
      <c r="H34" s="397">
        <v>26587</v>
      </c>
    </row>
    <row r="35" spans="1:8" ht="11.25" customHeight="1">
      <c r="A35" s="395" t="s">
        <v>903</v>
      </c>
      <c r="B35" s="396">
        <v>42233</v>
      </c>
      <c r="C35" s="395" t="s">
        <v>1127</v>
      </c>
      <c r="D35" s="395" t="s">
        <v>1423</v>
      </c>
      <c r="E35" s="397">
        <v>461.38</v>
      </c>
      <c r="F35" s="397">
        <v>2319732</v>
      </c>
      <c r="G35" s="397">
        <v>2296662</v>
      </c>
      <c r="H35" s="397">
        <v>23070</v>
      </c>
    </row>
    <row r="36" spans="1:8" ht="11.25" customHeight="1">
      <c r="A36" s="395" t="s">
        <v>1425</v>
      </c>
      <c r="B36" s="396">
        <v>42233</v>
      </c>
      <c r="C36" s="395" t="s">
        <v>1127</v>
      </c>
      <c r="D36" s="395" t="s">
        <v>1426</v>
      </c>
      <c r="E36" s="397">
        <v>461.38</v>
      </c>
      <c r="F36" s="397">
        <v>2319732</v>
      </c>
      <c r="G36" s="397">
        <v>2296662</v>
      </c>
      <c r="H36" s="397">
        <v>23070</v>
      </c>
    </row>
    <row r="37" spans="1:8" ht="11.25" customHeight="1">
      <c r="A37" s="395" t="s">
        <v>1428</v>
      </c>
      <c r="B37" s="396">
        <v>42235</v>
      </c>
      <c r="C37" s="395" t="s">
        <v>1127</v>
      </c>
      <c r="D37" s="395" t="s">
        <v>1429</v>
      </c>
      <c r="E37" s="397">
        <v>461.38</v>
      </c>
      <c r="F37" s="397">
        <v>3158146</v>
      </c>
      <c r="G37" s="397">
        <v>2985246</v>
      </c>
      <c r="H37" s="397">
        <v>172900</v>
      </c>
    </row>
    <row r="38" spans="1:8" ht="11.25" customHeight="1">
      <c r="A38" s="395" t="s">
        <v>1431</v>
      </c>
      <c r="B38" s="396">
        <v>42237</v>
      </c>
      <c r="C38" s="395" t="s">
        <v>1148</v>
      </c>
      <c r="D38" s="395" t="s">
        <v>901</v>
      </c>
      <c r="E38" s="397">
        <v>297.82</v>
      </c>
      <c r="F38" s="397">
        <v>2034429</v>
      </c>
      <c r="G38" s="397">
        <v>1933497</v>
      </c>
      <c r="H38" s="397">
        <v>100932</v>
      </c>
    </row>
    <row r="39" spans="1:8" ht="11.25" customHeight="1">
      <c r="A39" s="395" t="s">
        <v>1435</v>
      </c>
      <c r="B39" s="398">
        <v>42247</v>
      </c>
      <c r="C39" s="395" t="s">
        <v>1127</v>
      </c>
      <c r="D39" s="395" t="s">
        <v>1436</v>
      </c>
      <c r="E39" s="397">
        <v>461</v>
      </c>
      <c r="F39" s="397">
        <v>3158146</v>
      </c>
      <c r="G39" s="397">
        <v>2985245</v>
      </c>
      <c r="H39" s="397">
        <v>172901</v>
      </c>
    </row>
    <row r="40" spans="1:8" ht="11.25" customHeight="1">
      <c r="A40" s="395" t="s">
        <v>1975</v>
      </c>
      <c r="B40" s="396">
        <v>42266</v>
      </c>
      <c r="C40" s="395" t="s">
        <v>1127</v>
      </c>
      <c r="D40" s="395" t="s">
        <v>1675</v>
      </c>
      <c r="E40" s="397">
        <v>461.38</v>
      </c>
      <c r="F40" s="397">
        <v>323069</v>
      </c>
      <c r="G40" s="397">
        <v>287908</v>
      </c>
      <c r="H40" s="397">
        <v>35161</v>
      </c>
    </row>
    <row r="41" spans="1:8" ht="11.25" customHeight="1">
      <c r="A41" s="395" t="s">
        <v>1975</v>
      </c>
      <c r="B41" s="396">
        <v>42266</v>
      </c>
      <c r="C41" s="395" t="s">
        <v>1127</v>
      </c>
      <c r="D41" s="395" t="s">
        <v>1572</v>
      </c>
      <c r="E41" s="397">
        <v>461.38</v>
      </c>
      <c r="F41" s="397">
        <v>323069</v>
      </c>
      <c r="G41" s="397">
        <v>287908</v>
      </c>
      <c r="H41" s="397">
        <v>35161</v>
      </c>
    </row>
    <row r="42" spans="1:8" ht="11.25" customHeight="1">
      <c r="A42" s="395" t="s">
        <v>1454</v>
      </c>
      <c r="B42" s="396">
        <v>42305</v>
      </c>
      <c r="C42" s="395" t="s">
        <v>1127</v>
      </c>
      <c r="D42" s="395" t="s">
        <v>1405</v>
      </c>
      <c r="E42" s="397">
        <v>461.38</v>
      </c>
      <c r="F42" s="397">
        <v>3082572</v>
      </c>
      <c r="G42" s="397">
        <v>3059502</v>
      </c>
      <c r="H42" s="397">
        <v>23070</v>
      </c>
    </row>
    <row r="43" spans="1:8" ht="11.25" customHeight="1">
      <c r="A43" s="395" t="s">
        <v>1467</v>
      </c>
      <c r="B43" s="396">
        <v>42324</v>
      </c>
      <c r="C43" s="395" t="s">
        <v>1091</v>
      </c>
      <c r="D43" s="395" t="s">
        <v>1423</v>
      </c>
      <c r="E43" s="397">
        <v>461.38</v>
      </c>
      <c r="F43" s="397">
        <v>3278592</v>
      </c>
      <c r="G43" s="397">
        <v>3244687</v>
      </c>
      <c r="H43" s="397">
        <v>33905</v>
      </c>
    </row>
    <row r="44" spans="1:8" ht="11.25" customHeight="1">
      <c r="A44" s="395" t="s">
        <v>1976</v>
      </c>
      <c r="B44" s="396">
        <v>42329</v>
      </c>
      <c r="C44" s="395" t="s">
        <v>1127</v>
      </c>
      <c r="D44" s="395" t="s">
        <v>1636</v>
      </c>
      <c r="E44" s="397">
        <v>461.38</v>
      </c>
      <c r="F44" s="397">
        <v>1161483</v>
      </c>
      <c r="G44" s="397">
        <v>1138415</v>
      </c>
      <c r="H44" s="397">
        <v>23068</v>
      </c>
    </row>
    <row r="45" spans="1:8" ht="11.25" customHeight="1">
      <c r="A45" s="395" t="s">
        <v>1474</v>
      </c>
      <c r="B45" s="396">
        <v>42336</v>
      </c>
      <c r="C45" s="395" t="s">
        <v>1127</v>
      </c>
      <c r="D45" s="395" t="s">
        <v>1475</v>
      </c>
      <c r="E45" s="397">
        <v>461.38</v>
      </c>
      <c r="F45" s="397">
        <v>3532901</v>
      </c>
      <c r="G45" s="397">
        <v>2719529</v>
      </c>
      <c r="H45" s="397">
        <v>813372</v>
      </c>
    </row>
    <row r="46" spans="1:8" ht="11.25" customHeight="1">
      <c r="A46" s="395" t="s">
        <v>1490</v>
      </c>
      <c r="B46" s="396">
        <v>42353</v>
      </c>
      <c r="C46" s="395" t="s">
        <v>1148</v>
      </c>
      <c r="D46" s="395" t="s">
        <v>1485</v>
      </c>
      <c r="E46" s="397">
        <v>461.38</v>
      </c>
      <c r="F46" s="397">
        <v>3036930</v>
      </c>
      <c r="G46" s="397">
        <v>3009642</v>
      </c>
      <c r="H46" s="397">
        <v>27288</v>
      </c>
    </row>
    <row r="47" spans="1:8" ht="11.25" customHeight="1">
      <c r="A47" s="395" t="s">
        <v>1492</v>
      </c>
      <c r="B47" s="396">
        <v>42366</v>
      </c>
      <c r="C47" s="395" t="s">
        <v>1127</v>
      </c>
      <c r="D47" s="395" t="s">
        <v>978</v>
      </c>
      <c r="E47" s="397">
        <v>297.82</v>
      </c>
      <c r="F47" s="397">
        <v>2001321</v>
      </c>
      <c r="G47" s="397">
        <v>1521460</v>
      </c>
      <c r="H47" s="397">
        <v>479861</v>
      </c>
    </row>
    <row r="48" spans="1:8" ht="11.25" customHeight="1">
      <c r="A48" s="395" t="s">
        <v>1492</v>
      </c>
      <c r="B48" s="396">
        <v>42366</v>
      </c>
      <c r="C48" s="395" t="s">
        <v>1302</v>
      </c>
      <c r="D48" s="395" t="s">
        <v>1494</v>
      </c>
      <c r="E48" s="397">
        <v>446.73</v>
      </c>
      <c r="F48" s="397">
        <v>2946185</v>
      </c>
      <c r="G48" s="397">
        <v>2226392</v>
      </c>
      <c r="H48" s="397">
        <v>719793</v>
      </c>
    </row>
    <row r="49" spans="1:8" ht="11.25" customHeight="1">
      <c r="A49" s="395" t="s">
        <v>1505</v>
      </c>
      <c r="B49" s="396">
        <v>42398</v>
      </c>
      <c r="C49" s="395" t="s">
        <v>1127</v>
      </c>
      <c r="D49" s="395" t="s">
        <v>1391</v>
      </c>
      <c r="E49" s="397">
        <v>461.38</v>
      </c>
      <c r="F49" s="397">
        <v>3204284</v>
      </c>
      <c r="G49" s="397">
        <v>3060809</v>
      </c>
      <c r="H49" s="397">
        <v>143475</v>
      </c>
    </row>
    <row r="50" spans="1:8" ht="11.25" customHeight="1">
      <c r="A50" s="395" t="s">
        <v>1514</v>
      </c>
      <c r="B50" s="396">
        <v>42440</v>
      </c>
      <c r="C50" s="395" t="s">
        <v>1127</v>
      </c>
      <c r="D50" s="395" t="s">
        <v>1449</v>
      </c>
      <c r="E50" s="397">
        <v>461.38</v>
      </c>
      <c r="F50" s="397">
        <v>3204284</v>
      </c>
      <c r="G50" s="397">
        <v>3181216</v>
      </c>
      <c r="H50" s="397">
        <v>23068</v>
      </c>
    </row>
    <row r="51" spans="1:8" ht="11.25" customHeight="1">
      <c r="A51" s="395" t="s">
        <v>1518</v>
      </c>
      <c r="B51" s="396">
        <v>42450</v>
      </c>
      <c r="C51" s="395" t="s">
        <v>1302</v>
      </c>
      <c r="D51" s="395" t="s">
        <v>1519</v>
      </c>
      <c r="E51" s="397">
        <v>446.73</v>
      </c>
      <c r="F51" s="397">
        <v>2587772</v>
      </c>
      <c r="G51" s="397">
        <v>2598164</v>
      </c>
      <c r="H51" s="397">
        <v>-10392</v>
      </c>
    </row>
    <row r="52" spans="1:8" ht="11.25" customHeight="1">
      <c r="A52" s="395" t="s">
        <v>1528</v>
      </c>
      <c r="B52" s="396">
        <v>42464</v>
      </c>
      <c r="C52" s="395" t="s">
        <v>1127</v>
      </c>
      <c r="D52" s="395" t="s">
        <v>1463</v>
      </c>
      <c r="E52" s="397">
        <v>461.38</v>
      </c>
      <c r="F52" s="397">
        <v>3564901</v>
      </c>
      <c r="G52" s="397">
        <v>2982826</v>
      </c>
      <c r="H52" s="397">
        <v>582075</v>
      </c>
    </row>
    <row r="53" spans="1:8" ht="11.25" customHeight="1">
      <c r="A53" s="395" t="s">
        <v>1977</v>
      </c>
      <c r="B53" s="396">
        <v>42488</v>
      </c>
      <c r="C53" s="395" t="s">
        <v>1127</v>
      </c>
      <c r="D53" s="395" t="s">
        <v>1570</v>
      </c>
      <c r="E53" s="397">
        <v>461.38</v>
      </c>
      <c r="F53" s="397">
        <v>1060646</v>
      </c>
      <c r="G53" s="397">
        <v>1037575</v>
      </c>
      <c r="H53" s="397">
        <v>23071</v>
      </c>
    </row>
    <row r="54" spans="1:8" ht="11.25" customHeight="1">
      <c r="A54" s="395" t="s">
        <v>1978</v>
      </c>
      <c r="B54" s="396">
        <v>42488</v>
      </c>
      <c r="C54" s="395" t="s">
        <v>1112</v>
      </c>
      <c r="D54" s="395" t="s">
        <v>1979</v>
      </c>
      <c r="E54" s="397">
        <v>919.12</v>
      </c>
      <c r="F54" s="397">
        <v>4321692</v>
      </c>
      <c r="G54" s="397">
        <v>3999998</v>
      </c>
      <c r="H54" s="397">
        <v>321694</v>
      </c>
    </row>
    <row r="55" spans="1:8" ht="11.25" customHeight="1">
      <c r="A55" s="395" t="s">
        <v>1541</v>
      </c>
      <c r="B55" s="398">
        <v>42489</v>
      </c>
      <c r="C55" s="395" t="s">
        <v>1127</v>
      </c>
      <c r="D55" s="395" t="s">
        <v>1542</v>
      </c>
      <c r="E55" s="397">
        <v>461</v>
      </c>
      <c r="F55" s="397">
        <v>3173856</v>
      </c>
      <c r="G55" s="397">
        <v>673555</v>
      </c>
      <c r="H55" s="397">
        <v>2500301</v>
      </c>
    </row>
    <row r="56" spans="1:8" ht="11.25" customHeight="1">
      <c r="A56" s="395" t="s">
        <v>1980</v>
      </c>
      <c r="B56" s="398">
        <v>42515</v>
      </c>
      <c r="C56" s="395" t="s">
        <v>1099</v>
      </c>
      <c r="D56" s="395" t="s">
        <v>1981</v>
      </c>
      <c r="E56" s="397">
        <v>919</v>
      </c>
      <c r="F56" s="397">
        <v>3547648</v>
      </c>
      <c r="G56" s="397">
        <v>3473958</v>
      </c>
      <c r="H56" s="397">
        <v>73690</v>
      </c>
    </row>
    <row r="57" spans="1:8" ht="11.25" customHeight="1">
      <c r="A57" s="395" t="s">
        <v>1557</v>
      </c>
      <c r="B57" s="398">
        <v>42531</v>
      </c>
      <c r="C57" s="395" t="s">
        <v>1148</v>
      </c>
      <c r="D57" s="395" t="s">
        <v>1041</v>
      </c>
      <c r="E57" s="397">
        <v>298</v>
      </c>
      <c r="F57" s="397">
        <v>2094315</v>
      </c>
      <c r="G57" s="397">
        <v>1940621</v>
      </c>
      <c r="H57" s="397">
        <v>153694</v>
      </c>
    </row>
    <row r="58" spans="1:8" ht="11.25" customHeight="1">
      <c r="A58" s="395" t="s">
        <v>1559</v>
      </c>
      <c r="B58" s="396">
        <v>42543</v>
      </c>
      <c r="C58" s="395" t="s">
        <v>1127</v>
      </c>
      <c r="D58" s="395" t="s">
        <v>1560</v>
      </c>
      <c r="E58" s="397">
        <v>461.38</v>
      </c>
      <c r="F58" s="397">
        <v>3624901</v>
      </c>
      <c r="G58" s="397">
        <v>3042800</v>
      </c>
      <c r="H58" s="397">
        <v>582101</v>
      </c>
    </row>
    <row r="59" spans="1:8" ht="11.25" customHeight="1">
      <c r="A59" s="395" t="s">
        <v>1569</v>
      </c>
      <c r="B59" s="396">
        <v>42558</v>
      </c>
      <c r="C59" s="395" t="s">
        <v>1148</v>
      </c>
      <c r="D59" s="395" t="s">
        <v>1572</v>
      </c>
      <c r="E59" s="397">
        <v>461.38</v>
      </c>
      <c r="F59" s="397">
        <v>3344901</v>
      </c>
      <c r="G59" s="397">
        <v>2762801</v>
      </c>
      <c r="H59" s="397">
        <v>582100</v>
      </c>
    </row>
    <row r="60" spans="1:8" ht="11.25" customHeight="1">
      <c r="A60" s="395" t="s">
        <v>1589</v>
      </c>
      <c r="B60" s="396">
        <v>42579</v>
      </c>
      <c r="C60" s="395" t="s">
        <v>1148</v>
      </c>
      <c r="D60" s="395" t="s">
        <v>1426</v>
      </c>
      <c r="E60" s="397">
        <v>461.38</v>
      </c>
      <c r="F60" s="397">
        <v>3624901</v>
      </c>
      <c r="G60" s="397">
        <v>3042802</v>
      </c>
      <c r="H60" s="397">
        <v>582099</v>
      </c>
    </row>
    <row r="61" spans="1:8" ht="11.25" customHeight="1">
      <c r="A61" s="395" t="s">
        <v>1589</v>
      </c>
      <c r="B61" s="396">
        <v>42579</v>
      </c>
      <c r="C61" s="395" t="s">
        <v>1148</v>
      </c>
      <c r="D61" s="395" t="s">
        <v>1463</v>
      </c>
      <c r="E61" s="397">
        <v>461.38</v>
      </c>
      <c r="F61" s="397">
        <v>3351901</v>
      </c>
      <c r="G61" s="397">
        <v>2769802</v>
      </c>
      <c r="H61" s="397">
        <v>582099</v>
      </c>
    </row>
    <row r="62" spans="1:8" ht="11.25" customHeight="1">
      <c r="A62" s="395" t="s">
        <v>1597</v>
      </c>
      <c r="B62" s="396">
        <v>42604</v>
      </c>
      <c r="C62" s="395" t="s">
        <v>1127</v>
      </c>
      <c r="D62" s="395" t="s">
        <v>1411</v>
      </c>
      <c r="E62" s="397">
        <v>461.38</v>
      </c>
      <c r="F62" s="397">
        <v>3624901</v>
      </c>
      <c r="G62" s="397">
        <v>3045520</v>
      </c>
      <c r="H62" s="397">
        <v>579381</v>
      </c>
    </row>
    <row r="63" spans="1:8" ht="11.25" customHeight="1">
      <c r="A63" s="395" t="s">
        <v>1597</v>
      </c>
      <c r="B63" s="396">
        <v>42604</v>
      </c>
      <c r="C63" s="395" t="s">
        <v>1127</v>
      </c>
      <c r="D63" s="395" t="s">
        <v>1599</v>
      </c>
      <c r="E63" s="397">
        <v>461.38</v>
      </c>
      <c r="F63" s="397">
        <v>3624901</v>
      </c>
      <c r="G63" s="397">
        <v>3043177</v>
      </c>
      <c r="H63" s="397">
        <v>581724</v>
      </c>
    </row>
    <row r="64" spans="1:8" ht="11.25" customHeight="1">
      <c r="A64" s="395" t="s">
        <v>1603</v>
      </c>
      <c r="B64" s="396">
        <v>42635</v>
      </c>
      <c r="C64" s="395" t="s">
        <v>1148</v>
      </c>
      <c r="D64" s="395" t="s">
        <v>1604</v>
      </c>
      <c r="E64" s="397">
        <v>461.38</v>
      </c>
      <c r="F64" s="397">
        <v>3204284</v>
      </c>
      <c r="G64" s="397">
        <v>3042801</v>
      </c>
      <c r="H64" s="397">
        <v>161483</v>
      </c>
    </row>
    <row r="65" spans="1:8" ht="11.25" customHeight="1">
      <c r="A65" s="395" t="s">
        <v>1982</v>
      </c>
      <c r="B65" s="396">
        <v>42668</v>
      </c>
      <c r="C65" s="395" t="s">
        <v>1239</v>
      </c>
      <c r="D65" s="395" t="s">
        <v>1825</v>
      </c>
      <c r="E65" s="397">
        <v>446.73</v>
      </c>
      <c r="F65" s="397">
        <v>1691156</v>
      </c>
      <c r="G65" s="397">
        <v>1536549</v>
      </c>
      <c r="H65" s="397">
        <v>154607</v>
      </c>
    </row>
    <row r="66" spans="1:8" ht="11.25" customHeight="1">
      <c r="A66" s="395" t="s">
        <v>1615</v>
      </c>
      <c r="B66" s="396">
        <v>42682</v>
      </c>
      <c r="C66" s="395" t="s">
        <v>1148</v>
      </c>
      <c r="D66" s="395" t="s">
        <v>1542</v>
      </c>
      <c r="E66" s="397">
        <v>461.38</v>
      </c>
      <c r="F66" s="397">
        <v>2874901</v>
      </c>
      <c r="G66" s="397">
        <v>2702251</v>
      </c>
      <c r="H66" s="397">
        <v>172650</v>
      </c>
    </row>
    <row r="67" spans="1:8" ht="11.25" customHeight="1">
      <c r="A67" s="395" t="s">
        <v>1983</v>
      </c>
      <c r="B67" s="396">
        <v>42684</v>
      </c>
      <c r="C67" s="395" t="s">
        <v>1112</v>
      </c>
      <c r="D67" s="395" t="s">
        <v>1398</v>
      </c>
      <c r="E67" s="397">
        <v>919.12</v>
      </c>
      <c r="F67" s="397">
        <v>4321692</v>
      </c>
      <c r="G67" s="397">
        <v>4045962</v>
      </c>
      <c r="H67" s="397">
        <v>275730</v>
      </c>
    </row>
    <row r="68" spans="1:8" ht="11.25" customHeight="1">
      <c r="A68" s="395" t="s">
        <v>1984</v>
      </c>
      <c r="B68" s="396">
        <v>42689</v>
      </c>
      <c r="C68" s="395" t="s">
        <v>1148</v>
      </c>
      <c r="D68" s="395" t="s">
        <v>1636</v>
      </c>
      <c r="E68" s="397">
        <v>461.38</v>
      </c>
      <c r="F68" s="397">
        <v>1517280</v>
      </c>
      <c r="G68" s="397">
        <v>1142801</v>
      </c>
      <c r="H68" s="397">
        <v>374479</v>
      </c>
    </row>
    <row r="69" spans="1:8" ht="11.25" customHeight="1">
      <c r="A69" s="395" t="s">
        <v>1985</v>
      </c>
      <c r="B69" s="396">
        <v>42691</v>
      </c>
      <c r="C69" s="395" t="s">
        <v>1148</v>
      </c>
      <c r="D69" s="395" t="s">
        <v>1408</v>
      </c>
      <c r="E69" s="397">
        <v>461.38</v>
      </c>
      <c r="F69" s="397">
        <v>1061483</v>
      </c>
      <c r="G69" s="397">
        <v>900000</v>
      </c>
      <c r="H69" s="397">
        <v>161483</v>
      </c>
    </row>
    <row r="70" spans="1:8" ht="11.25" customHeight="1">
      <c r="A70" s="395" t="s">
        <v>1986</v>
      </c>
      <c r="B70" s="396">
        <v>42710</v>
      </c>
      <c r="C70" s="395" t="s">
        <v>1148</v>
      </c>
      <c r="D70" s="395" t="s">
        <v>1699</v>
      </c>
      <c r="E70" s="397">
        <v>461.38</v>
      </c>
      <c r="F70" s="397">
        <v>874479</v>
      </c>
      <c r="G70" s="397">
        <v>758102</v>
      </c>
      <c r="H70" s="397">
        <v>116377</v>
      </c>
    </row>
    <row r="71" spans="1:8" ht="11.25" customHeight="1">
      <c r="A71" s="395" t="s">
        <v>1987</v>
      </c>
      <c r="B71" s="396">
        <v>42710</v>
      </c>
      <c r="C71" s="395" t="s">
        <v>1148</v>
      </c>
      <c r="D71" s="395" t="s">
        <v>1830</v>
      </c>
      <c r="E71" s="397">
        <v>461.38</v>
      </c>
      <c r="F71" s="397">
        <v>874479</v>
      </c>
      <c r="G71" s="397">
        <v>307416</v>
      </c>
      <c r="H71" s="397">
        <v>567063</v>
      </c>
    </row>
    <row r="72" spans="1:8" ht="11.25" customHeight="1">
      <c r="A72" s="395" t="s">
        <v>1635</v>
      </c>
      <c r="B72" s="396">
        <v>42780</v>
      </c>
      <c r="C72" s="395" t="s">
        <v>1130</v>
      </c>
      <c r="D72" s="395" t="s">
        <v>1636</v>
      </c>
      <c r="E72" s="397">
        <v>461.38</v>
      </c>
      <c r="F72" s="397">
        <v>3417280</v>
      </c>
      <c r="G72" s="397">
        <v>3509217</v>
      </c>
      <c r="H72" s="397">
        <v>-91937</v>
      </c>
    </row>
    <row r="73" spans="1:8" ht="11.25" customHeight="1">
      <c r="A73" s="395" t="s">
        <v>1663</v>
      </c>
      <c r="B73" s="398">
        <v>42829</v>
      </c>
      <c r="C73" s="395" t="s">
        <v>1148</v>
      </c>
      <c r="D73" s="395" t="s">
        <v>924</v>
      </c>
      <c r="E73" s="397">
        <v>298</v>
      </c>
      <c r="F73" s="397">
        <v>1759535</v>
      </c>
      <c r="G73" s="397">
        <v>508134</v>
      </c>
      <c r="H73" s="397">
        <v>1251401</v>
      </c>
    </row>
    <row r="74" spans="1:8" ht="11.25" customHeight="1">
      <c r="A74" s="395" t="s">
        <v>1988</v>
      </c>
      <c r="B74" s="396">
        <v>42832</v>
      </c>
      <c r="C74" s="395" t="s">
        <v>1130</v>
      </c>
      <c r="D74" s="395" t="s">
        <v>1411</v>
      </c>
      <c r="E74" s="397">
        <v>461.38</v>
      </c>
      <c r="F74" s="397">
        <v>1023069</v>
      </c>
      <c r="G74" s="397">
        <v>980007</v>
      </c>
      <c r="H74" s="397">
        <v>43062</v>
      </c>
    </row>
    <row r="75" spans="1:8" ht="11.25" customHeight="1">
      <c r="A75" s="395" t="s">
        <v>1989</v>
      </c>
      <c r="B75" s="398">
        <v>42846</v>
      </c>
      <c r="C75" s="395" t="s">
        <v>1109</v>
      </c>
      <c r="D75" s="395" t="s">
        <v>907</v>
      </c>
      <c r="E75" s="397">
        <v>950</v>
      </c>
      <c r="F75" s="397">
        <v>1560951</v>
      </c>
      <c r="G75" s="397">
        <v>1587537</v>
      </c>
      <c r="H75" s="397">
        <v>-26586</v>
      </c>
    </row>
    <row r="76" spans="1:8" ht="11.25" customHeight="1">
      <c r="A76" s="395" t="s">
        <v>1677</v>
      </c>
      <c r="B76" s="396">
        <v>42861</v>
      </c>
      <c r="C76" s="395" t="s">
        <v>1127</v>
      </c>
      <c r="D76" s="395" t="s">
        <v>1196</v>
      </c>
      <c r="E76" s="397">
        <v>297.82</v>
      </c>
      <c r="F76" s="397">
        <v>1804237</v>
      </c>
      <c r="G76" s="397">
        <v>1700000</v>
      </c>
      <c r="H76" s="397">
        <v>104237</v>
      </c>
    </row>
    <row r="77" spans="1:8" ht="11.25" customHeight="1">
      <c r="A77" s="395" t="s">
        <v>1679</v>
      </c>
      <c r="B77" s="398">
        <v>42865</v>
      </c>
      <c r="C77" s="395" t="s">
        <v>1091</v>
      </c>
      <c r="D77" s="395" t="s">
        <v>1426</v>
      </c>
      <c r="E77" s="397">
        <v>461</v>
      </c>
      <c r="F77" s="397">
        <v>2884430</v>
      </c>
      <c r="G77" s="397">
        <v>1738602</v>
      </c>
      <c r="H77" s="397">
        <v>1145828</v>
      </c>
    </row>
    <row r="78" spans="1:8" ht="11.25" customHeight="1">
      <c r="A78" s="395" t="s">
        <v>1990</v>
      </c>
      <c r="B78" s="396">
        <v>42872</v>
      </c>
      <c r="C78" s="395" t="s">
        <v>1091</v>
      </c>
      <c r="D78" s="395" t="s">
        <v>1675</v>
      </c>
      <c r="E78" s="397">
        <v>461.38</v>
      </c>
      <c r="F78" s="397">
        <v>1550000</v>
      </c>
      <c r="G78" s="397">
        <v>1483254</v>
      </c>
      <c r="H78" s="397">
        <v>66746</v>
      </c>
    </row>
    <row r="79" spans="1:8" ht="11.25" customHeight="1">
      <c r="A79" s="395" t="s">
        <v>1693</v>
      </c>
      <c r="B79" s="396">
        <v>42906</v>
      </c>
      <c r="C79" s="395" t="s">
        <v>1374</v>
      </c>
      <c r="D79" s="395" t="s">
        <v>1694</v>
      </c>
      <c r="E79" s="397">
        <v>919.12</v>
      </c>
      <c r="F79" s="397">
        <v>8745956</v>
      </c>
      <c r="G79" s="397">
        <v>3381324</v>
      </c>
      <c r="H79" s="397">
        <v>5364632</v>
      </c>
    </row>
    <row r="80" spans="1:8" ht="11.25" customHeight="1">
      <c r="A80" s="395" t="s">
        <v>1991</v>
      </c>
      <c r="B80" s="396">
        <v>42927</v>
      </c>
      <c r="C80" s="395" t="s">
        <v>1148</v>
      </c>
      <c r="D80" s="395" t="s">
        <v>1992</v>
      </c>
      <c r="E80" s="397">
        <v>461.38</v>
      </c>
      <c r="F80" s="397">
        <v>1694901</v>
      </c>
      <c r="G80" s="397">
        <v>1112801</v>
      </c>
      <c r="H80" s="397">
        <v>582100</v>
      </c>
    </row>
    <row r="81" spans="1:8" ht="11.25" customHeight="1">
      <c r="A81" s="395" t="s">
        <v>1993</v>
      </c>
      <c r="B81" s="396">
        <v>42992</v>
      </c>
      <c r="C81" s="395" t="s">
        <v>1109</v>
      </c>
      <c r="D81" s="395" t="s">
        <v>1014</v>
      </c>
      <c r="E81" s="399">
        <v>1153.1199999999999</v>
      </c>
      <c r="F81" s="397">
        <v>2042178</v>
      </c>
      <c r="G81" s="397">
        <v>2035791</v>
      </c>
      <c r="H81" s="397">
        <v>6387</v>
      </c>
    </row>
    <row r="82" spans="1:8" ht="11.25" customHeight="1">
      <c r="A82" s="395" t="s">
        <v>1718</v>
      </c>
      <c r="B82" s="398">
        <v>43024</v>
      </c>
      <c r="C82" s="395" t="s">
        <v>1302</v>
      </c>
      <c r="D82" s="395" t="s">
        <v>1719</v>
      </c>
      <c r="E82" s="397">
        <v>298</v>
      </c>
      <c r="F82" s="397">
        <v>2052443</v>
      </c>
      <c r="G82" s="397">
        <v>1651786</v>
      </c>
      <c r="H82" s="397">
        <v>400657</v>
      </c>
    </row>
    <row r="83" spans="1:8" ht="11.25" customHeight="1">
      <c r="A83" s="395" t="s">
        <v>1726</v>
      </c>
      <c r="B83" s="396">
        <v>43031</v>
      </c>
      <c r="C83" s="395" t="s">
        <v>1091</v>
      </c>
      <c r="D83" s="395" t="s">
        <v>970</v>
      </c>
      <c r="E83" s="397">
        <v>446.73</v>
      </c>
      <c r="F83" s="397">
        <v>2805711</v>
      </c>
      <c r="G83" s="397">
        <v>2354723</v>
      </c>
      <c r="H83" s="397">
        <v>450988</v>
      </c>
    </row>
    <row r="84" spans="1:8" ht="11.25" customHeight="1">
      <c r="A84" s="395" t="s">
        <v>1994</v>
      </c>
      <c r="B84" s="398">
        <v>43080</v>
      </c>
      <c r="C84" s="395" t="s">
        <v>1173</v>
      </c>
      <c r="D84" s="395" t="s">
        <v>1086</v>
      </c>
      <c r="E84" s="397">
        <v>447</v>
      </c>
      <c r="F84" s="397">
        <v>1776757</v>
      </c>
      <c r="G84" s="397">
        <v>1414168</v>
      </c>
      <c r="H84" s="397">
        <v>362589</v>
      </c>
    </row>
    <row r="85" spans="1:8" ht="11.25" customHeight="1">
      <c r="A85" s="395" t="s">
        <v>1817</v>
      </c>
      <c r="B85" s="398">
        <v>43086</v>
      </c>
      <c r="C85" s="395" t="s">
        <v>1130</v>
      </c>
      <c r="D85" s="395" t="s">
        <v>1542</v>
      </c>
      <c r="E85" s="397">
        <v>461</v>
      </c>
      <c r="F85" s="397">
        <v>1995880</v>
      </c>
      <c r="G85" s="397">
        <v>1319415</v>
      </c>
      <c r="H85" s="397">
        <v>676465</v>
      </c>
    </row>
    <row r="86" spans="1:8" ht="11.25" customHeight="1">
      <c r="A86" s="395" t="s">
        <v>1995</v>
      </c>
      <c r="B86" s="398">
        <v>43089</v>
      </c>
      <c r="C86" s="395" t="s">
        <v>1173</v>
      </c>
      <c r="D86" s="395" t="s">
        <v>1631</v>
      </c>
      <c r="E86" s="397">
        <v>447</v>
      </c>
      <c r="F86" s="397">
        <v>1776757</v>
      </c>
      <c r="G86" s="397">
        <v>1414168</v>
      </c>
      <c r="H86" s="397">
        <v>362589</v>
      </c>
    </row>
    <row r="87" spans="1:8" ht="11.25" customHeight="1">
      <c r="A87" s="395" t="s">
        <v>1766</v>
      </c>
      <c r="B87" s="396">
        <v>43104</v>
      </c>
      <c r="C87" s="395" t="s">
        <v>1127</v>
      </c>
      <c r="D87" s="395" t="s">
        <v>953</v>
      </c>
      <c r="E87" s="397">
        <v>297.82</v>
      </c>
      <c r="F87" s="397">
        <v>2225490</v>
      </c>
      <c r="G87" s="397">
        <v>2275997</v>
      </c>
      <c r="H87" s="397">
        <v>-50507</v>
      </c>
    </row>
    <row r="88" spans="1:8" ht="11.25" customHeight="1">
      <c r="A88" s="395" t="s">
        <v>1775</v>
      </c>
      <c r="B88" s="396">
        <v>43180</v>
      </c>
      <c r="C88" s="395" t="s">
        <v>1127</v>
      </c>
      <c r="D88" s="395" t="s">
        <v>1008</v>
      </c>
      <c r="E88" s="397">
        <v>297.82</v>
      </c>
      <c r="F88" s="397">
        <v>2117463</v>
      </c>
      <c r="G88" s="397">
        <v>1647246</v>
      </c>
      <c r="H88" s="397">
        <v>470217</v>
      </c>
    </row>
    <row r="89" spans="1:8" ht="11.25" customHeight="1">
      <c r="A89" s="395" t="s">
        <v>1779</v>
      </c>
      <c r="B89" s="396">
        <v>43204</v>
      </c>
      <c r="C89" s="395" t="s">
        <v>1996</v>
      </c>
      <c r="D89" s="395" t="s">
        <v>1780</v>
      </c>
      <c r="E89" s="399">
        <v>1065.49</v>
      </c>
      <c r="F89" s="397">
        <v>15327249</v>
      </c>
      <c r="G89" s="397">
        <v>8796920</v>
      </c>
      <c r="H89" s="397">
        <v>6530329</v>
      </c>
    </row>
    <row r="90" spans="1:8" ht="11.25" customHeight="1">
      <c r="A90" s="395" t="s">
        <v>1090</v>
      </c>
      <c r="B90" s="398">
        <v>43363</v>
      </c>
      <c r="C90" s="395" t="s">
        <v>910</v>
      </c>
      <c r="D90" s="395" t="s">
        <v>1825</v>
      </c>
      <c r="E90" s="397">
        <v>447</v>
      </c>
      <c r="F90" s="397">
        <v>895847</v>
      </c>
      <c r="G90" s="397">
        <v>600000</v>
      </c>
      <c r="H90" s="397">
        <v>295847</v>
      </c>
    </row>
    <row r="91" spans="1:8" ht="11.25" customHeight="1">
      <c r="A91" s="395" t="s">
        <v>1829</v>
      </c>
      <c r="B91" s="396">
        <v>43560</v>
      </c>
      <c r="C91" s="395" t="s">
        <v>1130</v>
      </c>
      <c r="D91" s="395" t="s">
        <v>1830</v>
      </c>
      <c r="E91" s="397">
        <v>461.38</v>
      </c>
      <c r="F91" s="397">
        <v>2524429</v>
      </c>
      <c r="G91" s="397">
        <v>1433225</v>
      </c>
      <c r="H91" s="397">
        <v>1091204</v>
      </c>
    </row>
    <row r="92" spans="1:8" ht="11.25" customHeight="1">
      <c r="A92" s="395" t="s">
        <v>1837</v>
      </c>
      <c r="B92" s="396">
        <v>43607</v>
      </c>
      <c r="C92" s="395" t="s">
        <v>1130</v>
      </c>
      <c r="D92" s="395" t="s">
        <v>997</v>
      </c>
      <c r="E92" s="397">
        <v>446.73</v>
      </c>
      <c r="F92" s="397">
        <v>2667202</v>
      </c>
      <c r="G92" s="397">
        <v>2681556</v>
      </c>
      <c r="H92" s="397">
        <v>-14354</v>
      </c>
    </row>
    <row r="93" spans="1:8" ht="11.25" customHeight="1">
      <c r="A93" s="395" t="s">
        <v>1840</v>
      </c>
      <c r="B93" s="396">
        <v>43624</v>
      </c>
      <c r="C93" s="395" t="s">
        <v>1127</v>
      </c>
      <c r="D93" s="395" t="s">
        <v>1485</v>
      </c>
      <c r="E93" s="397">
        <v>461.38</v>
      </c>
      <c r="F93" s="397">
        <v>2986483</v>
      </c>
      <c r="G93" s="397">
        <v>2500000</v>
      </c>
      <c r="H93" s="397">
        <v>486483</v>
      </c>
    </row>
    <row r="94" spans="1:8" ht="11.25" customHeight="1">
      <c r="A94" s="395" t="s">
        <v>1997</v>
      </c>
      <c r="B94" s="396">
        <v>43691</v>
      </c>
      <c r="C94" s="395" t="s">
        <v>1109</v>
      </c>
      <c r="D94" s="395" t="s">
        <v>978</v>
      </c>
      <c r="E94" s="397">
        <v>950</v>
      </c>
      <c r="F94" s="397">
        <v>3257500</v>
      </c>
      <c r="G94" s="397">
        <v>3270294</v>
      </c>
      <c r="H94" s="397">
        <v>-12794</v>
      </c>
    </row>
    <row r="95" spans="1:8" ht="11.25" customHeight="1">
      <c r="A95" s="395" t="s">
        <v>1998</v>
      </c>
      <c r="B95" s="396">
        <v>43711</v>
      </c>
      <c r="C95" s="395" t="s">
        <v>895</v>
      </c>
      <c r="D95" s="395" t="s">
        <v>1031</v>
      </c>
      <c r="E95" s="397">
        <v>446.73</v>
      </c>
      <c r="F95" s="397">
        <v>1891173</v>
      </c>
      <c r="G95" s="397">
        <v>1548943</v>
      </c>
      <c r="H95" s="397">
        <v>342230</v>
      </c>
    </row>
    <row r="96" spans="1:8" ht="11.25" customHeight="1">
      <c r="A96" s="395" t="s">
        <v>1855</v>
      </c>
      <c r="B96" s="396">
        <v>43724</v>
      </c>
      <c r="C96" s="395" t="s">
        <v>1302</v>
      </c>
      <c r="D96" s="395" t="s">
        <v>1856</v>
      </c>
      <c r="E96" s="397">
        <v>297.82</v>
      </c>
      <c r="F96" s="397">
        <v>2050000</v>
      </c>
      <c r="G96" s="397">
        <v>1397601</v>
      </c>
      <c r="H96" s="397">
        <v>652399</v>
      </c>
    </row>
    <row r="97" spans="1:8" ht="11.25" customHeight="1">
      <c r="A97" s="395" t="s">
        <v>1867</v>
      </c>
      <c r="B97" s="396">
        <v>43797</v>
      </c>
      <c r="C97" s="395" t="s">
        <v>1130</v>
      </c>
      <c r="D97" s="395" t="s">
        <v>1077</v>
      </c>
      <c r="E97" s="397">
        <v>446.73</v>
      </c>
      <c r="F97" s="397">
        <v>3201356</v>
      </c>
      <c r="G97" s="397">
        <v>604500</v>
      </c>
      <c r="H97" s="397">
        <v>2596856</v>
      </c>
    </row>
    <row r="98" spans="1:8" ht="11.25" customHeight="1">
      <c r="A98" s="395" t="s">
        <v>1872</v>
      </c>
      <c r="B98" s="396">
        <v>43806</v>
      </c>
      <c r="C98" s="395" t="s">
        <v>1099</v>
      </c>
      <c r="D98" s="395" t="s">
        <v>1873</v>
      </c>
      <c r="E98" s="397">
        <v>919.12</v>
      </c>
      <c r="F98" s="397">
        <v>6421692</v>
      </c>
      <c r="G98" s="397">
        <v>4482142</v>
      </c>
      <c r="H98" s="397">
        <v>1939550</v>
      </c>
    </row>
    <row r="99" spans="1:8" ht="11.25" customHeight="1">
      <c r="A99" s="395" t="s">
        <v>1880</v>
      </c>
      <c r="B99" s="396">
        <v>43840</v>
      </c>
      <c r="C99" s="395" t="s">
        <v>895</v>
      </c>
      <c r="D99" s="395" t="s">
        <v>1061</v>
      </c>
      <c r="E99" s="397">
        <v>446.73</v>
      </c>
      <c r="F99" s="397">
        <v>2681356</v>
      </c>
      <c r="G99" s="397">
        <v>552000</v>
      </c>
      <c r="H99" s="397">
        <v>2129356</v>
      </c>
    </row>
    <row r="100" spans="1:8" ht="11.25" customHeight="1">
      <c r="A100" s="395" t="s">
        <v>1888</v>
      </c>
      <c r="B100" s="396">
        <v>43847</v>
      </c>
      <c r="C100" s="395" t="s">
        <v>1148</v>
      </c>
      <c r="D100" s="395" t="s">
        <v>896</v>
      </c>
      <c r="E100" s="397">
        <v>297.82</v>
      </c>
      <c r="F100" s="397">
        <v>2526853</v>
      </c>
      <c r="G100" s="397">
        <v>2202378</v>
      </c>
      <c r="H100" s="397">
        <v>324475</v>
      </c>
    </row>
    <row r="101" spans="1:8" ht="11.25" customHeight="1">
      <c r="A101" s="395" t="s">
        <v>1892</v>
      </c>
      <c r="B101" s="396">
        <v>43852</v>
      </c>
      <c r="C101" s="395" t="s">
        <v>1130</v>
      </c>
      <c r="D101" s="395" t="s">
        <v>978</v>
      </c>
      <c r="E101" s="397">
        <v>297.82</v>
      </c>
      <c r="F101" s="397">
        <v>1850000</v>
      </c>
      <c r="G101" s="397">
        <v>1874396</v>
      </c>
      <c r="H101" s="397">
        <v>-24396</v>
      </c>
    </row>
    <row r="102" spans="1:8" ht="11.25" customHeight="1">
      <c r="A102" s="395" t="s">
        <v>1920</v>
      </c>
      <c r="B102" s="396">
        <v>44097</v>
      </c>
      <c r="C102" s="395" t="s">
        <v>1374</v>
      </c>
      <c r="D102" s="395" t="s">
        <v>1642</v>
      </c>
      <c r="E102" s="397">
        <v>919.12</v>
      </c>
      <c r="F102" s="397">
        <v>7596800</v>
      </c>
      <c r="G102" s="397">
        <v>4045800</v>
      </c>
      <c r="H102" s="397">
        <v>3551000</v>
      </c>
    </row>
    <row r="103" spans="1:8" ht="11.25" customHeight="1">
      <c r="A103" s="395" t="s">
        <v>1999</v>
      </c>
      <c r="B103" s="396">
        <v>44161</v>
      </c>
      <c r="C103" s="395" t="s">
        <v>1239</v>
      </c>
      <c r="D103" s="395" t="s">
        <v>1755</v>
      </c>
      <c r="E103" s="397">
        <v>446.73</v>
      </c>
      <c r="F103" s="397">
        <v>800000</v>
      </c>
      <c r="G103" s="397">
        <v>877766</v>
      </c>
      <c r="H103" s="397">
        <v>-77766</v>
      </c>
    </row>
    <row r="104" spans="1:8" ht="11.25" customHeight="1">
      <c r="A104" s="395" t="s">
        <v>2000</v>
      </c>
      <c r="B104" s="396">
        <v>44408</v>
      </c>
      <c r="C104" s="395" t="s">
        <v>895</v>
      </c>
      <c r="D104" s="395" t="s">
        <v>1000</v>
      </c>
      <c r="E104" s="397">
        <v>446.73</v>
      </c>
      <c r="F104" s="397">
        <v>783337</v>
      </c>
      <c r="G104" s="397">
        <v>800000</v>
      </c>
      <c r="H104" s="397">
        <v>-16663</v>
      </c>
    </row>
    <row r="105" spans="1:8" ht="11.25" customHeight="1">
      <c r="A105" s="395" t="s">
        <v>1942</v>
      </c>
      <c r="B105" s="398">
        <v>44496</v>
      </c>
      <c r="C105" s="395" t="s">
        <v>1996</v>
      </c>
      <c r="D105" s="395" t="s">
        <v>1100</v>
      </c>
      <c r="E105" s="397">
        <v>919.12</v>
      </c>
      <c r="F105" s="397">
        <v>5785860</v>
      </c>
      <c r="G105" s="397">
        <v>0</v>
      </c>
      <c r="H105" s="397">
        <v>5785860</v>
      </c>
    </row>
    <row r="106" spans="1:8" ht="11.25" customHeight="1">
      <c r="A106" s="395" t="s">
        <v>2001</v>
      </c>
      <c r="B106" s="398">
        <v>44498</v>
      </c>
      <c r="C106" s="395" t="s">
        <v>895</v>
      </c>
      <c r="D106" s="395" t="s">
        <v>921</v>
      </c>
      <c r="E106" s="397">
        <v>446.73</v>
      </c>
      <c r="F106" s="397">
        <v>2232000</v>
      </c>
      <c r="G106" s="397">
        <v>0</v>
      </c>
      <c r="H106" s="397">
        <v>2232000</v>
      </c>
    </row>
    <row r="107" spans="1:8" ht="11.25" customHeight="1">
      <c r="A107" s="395" t="s">
        <v>1944</v>
      </c>
      <c r="B107" s="400"/>
      <c r="C107" s="400"/>
      <c r="D107" s="400"/>
      <c r="E107" s="401">
        <v>52151</v>
      </c>
      <c r="F107" s="401">
        <v>283554068</v>
      </c>
      <c r="G107" s="401">
        <v>228989291</v>
      </c>
      <c r="H107" s="401">
        <v>54564777</v>
      </c>
    </row>
  </sheetData>
  <pageMargins left="0.7" right="0.7" top="0.75" bottom="0.75" header="0.3" footer="0.3"/>
  <pageSetup orientation="portrait"/>
  <headerFooter>
    <oddFooter>&amp;C&amp;"Helvetica Neue,Regular"&amp;12&amp;K000000&amp;P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22"/>
  <sheetViews>
    <sheetView showGridLines="0" workbookViewId="0"/>
  </sheetViews>
  <sheetFormatPr baseColWidth="10" defaultColWidth="8.83203125" defaultRowHeight="14.5" customHeight="1"/>
  <cols>
    <col min="1" max="1" width="8.83203125" style="4" customWidth="1"/>
    <col min="2" max="2" width="27.6640625" style="4" customWidth="1"/>
    <col min="3" max="3" width="18" style="4" customWidth="1"/>
    <col min="4" max="4" width="19" style="4" customWidth="1"/>
    <col min="5" max="5" width="18.1640625" style="4" customWidth="1"/>
    <col min="6" max="8" width="8.83203125" style="4" customWidth="1"/>
    <col min="9" max="16384" width="8.83203125" style="4"/>
  </cols>
  <sheetData>
    <row r="1" spans="1:7" ht="13.5" customHeight="1">
      <c r="A1" s="19"/>
      <c r="B1" s="19"/>
      <c r="C1" s="19"/>
      <c r="D1" s="19"/>
      <c r="E1" s="19"/>
      <c r="F1" s="19"/>
      <c r="G1" s="19"/>
    </row>
    <row r="2" spans="1:7" ht="13.5" customHeight="1">
      <c r="A2" s="19"/>
      <c r="B2" s="402" t="s">
        <v>2002</v>
      </c>
      <c r="C2" s="44"/>
      <c r="D2" s="44"/>
      <c r="E2" s="44"/>
      <c r="F2" s="19"/>
      <c r="G2" s="19"/>
    </row>
    <row r="3" spans="1:7" ht="13.5" customHeight="1">
      <c r="A3" s="45"/>
      <c r="B3" s="403" t="s">
        <v>2003</v>
      </c>
      <c r="C3" s="404" t="s">
        <v>2004</v>
      </c>
      <c r="D3" s="404" t="s">
        <v>2005</v>
      </c>
      <c r="E3" s="404" t="s">
        <v>82</v>
      </c>
      <c r="F3" s="87"/>
      <c r="G3" s="19"/>
    </row>
    <row r="4" spans="1:7" ht="13.5" customHeight="1">
      <c r="A4" s="45"/>
      <c r="B4" s="405" t="s">
        <v>2006</v>
      </c>
      <c r="C4" s="406">
        <v>52.66</v>
      </c>
      <c r="D4" s="406">
        <f t="shared" ref="D4:D11" si="0">E4-C4</f>
        <v>6.9400000000000048</v>
      </c>
      <c r="E4" s="406">
        <v>59.6</v>
      </c>
      <c r="F4" s="87"/>
      <c r="G4" s="19"/>
    </row>
    <row r="5" spans="1:7" ht="13.5" customHeight="1">
      <c r="A5" s="45"/>
      <c r="B5" s="405" t="s">
        <v>2007</v>
      </c>
      <c r="C5" s="406">
        <v>2.14</v>
      </c>
      <c r="D5" s="406">
        <f t="shared" si="0"/>
        <v>0</v>
      </c>
      <c r="E5" s="406">
        <v>2.14</v>
      </c>
      <c r="F5" s="87"/>
      <c r="G5" s="19"/>
    </row>
    <row r="6" spans="1:7" ht="13.5" customHeight="1">
      <c r="A6" s="45"/>
      <c r="B6" s="405" t="s">
        <v>2008</v>
      </c>
      <c r="C6" s="406">
        <v>11.36</v>
      </c>
      <c r="D6" s="406">
        <f t="shared" si="0"/>
        <v>0</v>
      </c>
      <c r="E6" s="406">
        <v>11.36</v>
      </c>
      <c r="F6" s="87"/>
      <c r="G6" s="19"/>
    </row>
    <row r="7" spans="1:7" ht="13.5" customHeight="1">
      <c r="A7" s="45"/>
      <c r="B7" s="405" t="s">
        <v>2009</v>
      </c>
      <c r="C7" s="406">
        <v>5.32</v>
      </c>
      <c r="D7" s="406">
        <f t="shared" si="0"/>
        <v>0</v>
      </c>
      <c r="E7" s="406">
        <v>5.32</v>
      </c>
      <c r="F7" s="87"/>
      <c r="G7" s="19"/>
    </row>
    <row r="8" spans="1:7" ht="13.5" customHeight="1">
      <c r="A8" s="45"/>
      <c r="B8" s="405" t="s">
        <v>2010</v>
      </c>
      <c r="C8" s="406">
        <v>284.83999999999997</v>
      </c>
      <c r="D8" s="406">
        <f t="shared" si="0"/>
        <v>0</v>
      </c>
      <c r="E8" s="406">
        <v>284.83999999999997</v>
      </c>
      <c r="F8" s="87"/>
      <c r="G8" s="19"/>
    </row>
    <row r="9" spans="1:7" ht="13.5" customHeight="1">
      <c r="A9" s="45"/>
      <c r="B9" s="405" t="s">
        <v>2011</v>
      </c>
      <c r="C9" s="406">
        <v>32.020000000000003</v>
      </c>
      <c r="D9" s="406">
        <f t="shared" si="0"/>
        <v>0.70000000000000284</v>
      </c>
      <c r="E9" s="406">
        <f>32.02+0.7</f>
        <v>32.720000000000006</v>
      </c>
      <c r="F9" s="87"/>
      <c r="G9" s="19"/>
    </row>
    <row r="10" spans="1:7" ht="13.5" customHeight="1">
      <c r="A10" s="45"/>
      <c r="B10" s="405" t="s">
        <v>2012</v>
      </c>
      <c r="C10" s="406">
        <f>59.6</f>
        <v>59.6</v>
      </c>
      <c r="D10" s="406">
        <f t="shared" si="0"/>
        <v>-59.6</v>
      </c>
      <c r="E10" s="406"/>
      <c r="F10" s="87"/>
      <c r="G10" s="19"/>
    </row>
    <row r="11" spans="1:7" ht="13.5" customHeight="1">
      <c r="A11" s="45"/>
      <c r="B11" s="405" t="s">
        <v>2013</v>
      </c>
      <c r="C11" s="406">
        <v>25.65</v>
      </c>
      <c r="D11" s="406">
        <f t="shared" si="0"/>
        <v>0.75</v>
      </c>
      <c r="E11" s="406">
        <f>25.65+0.75</f>
        <v>26.4</v>
      </c>
      <c r="F11" s="87"/>
      <c r="G11" s="19"/>
    </row>
    <row r="12" spans="1:7" ht="13.5" customHeight="1">
      <c r="A12" s="45"/>
      <c r="B12" s="407" t="s">
        <v>2014</v>
      </c>
      <c r="C12" s="408">
        <f>SUM(C4:C11)</f>
        <v>473.58999999999992</v>
      </c>
      <c r="D12" s="408">
        <f>SUM(D4:D11)</f>
        <v>-51.209999999999994</v>
      </c>
      <c r="E12" s="408">
        <f>SUM(E4:E11)</f>
        <v>422.38</v>
      </c>
      <c r="F12" s="87"/>
      <c r="G12" s="155"/>
    </row>
    <row r="13" spans="1:7" ht="13.5" customHeight="1">
      <c r="A13" s="19"/>
      <c r="B13" s="409" t="s">
        <v>292</v>
      </c>
      <c r="C13" s="410"/>
      <c r="D13" s="410"/>
      <c r="E13" s="410"/>
      <c r="F13" s="19"/>
      <c r="G13" s="19"/>
    </row>
    <row r="14" spans="1:7" ht="29" customHeight="1">
      <c r="A14" s="45"/>
      <c r="B14" s="405" t="s">
        <v>2015</v>
      </c>
      <c r="C14" s="411">
        <v>10.84</v>
      </c>
      <c r="D14" s="411">
        <f>E14-C14</f>
        <v>0</v>
      </c>
      <c r="E14" s="411">
        <v>10.84</v>
      </c>
      <c r="F14" s="87"/>
      <c r="G14" s="19"/>
    </row>
    <row r="15" spans="1:7" ht="13.5" customHeight="1">
      <c r="A15" s="45"/>
      <c r="B15" s="405" t="s">
        <v>2016</v>
      </c>
      <c r="C15" s="411">
        <v>0</v>
      </c>
      <c r="D15" s="411">
        <f>E15-C15</f>
        <v>20</v>
      </c>
      <c r="E15" s="411">
        <v>20</v>
      </c>
      <c r="F15" s="87"/>
      <c r="G15" s="19"/>
    </row>
    <row r="16" spans="1:7" ht="13.5" customHeight="1">
      <c r="A16" s="45"/>
      <c r="B16" s="405" t="s">
        <v>2017</v>
      </c>
      <c r="C16" s="411">
        <v>-7</v>
      </c>
      <c r="D16" s="411">
        <v>0</v>
      </c>
      <c r="E16" s="411">
        <v>-7</v>
      </c>
      <c r="F16" s="87"/>
      <c r="G16" s="19"/>
    </row>
    <row r="17" spans="1:7" ht="13.5" customHeight="1">
      <c r="A17" s="45"/>
      <c r="B17" s="405" t="s">
        <v>2018</v>
      </c>
      <c r="C17" s="411">
        <v>0.57999999999999996</v>
      </c>
      <c r="D17" s="411">
        <v>0</v>
      </c>
      <c r="E17" s="411">
        <v>0.57999999999999996</v>
      </c>
      <c r="F17" s="87"/>
      <c r="G17" s="19"/>
    </row>
    <row r="18" spans="1:7" ht="13.5" customHeight="1">
      <c r="A18" s="45"/>
      <c r="B18" s="405" t="s">
        <v>2019</v>
      </c>
      <c r="C18" s="411">
        <v>0.47</v>
      </c>
      <c r="D18" s="411">
        <f>E18-C18</f>
        <v>0</v>
      </c>
      <c r="E18" s="411">
        <v>0.47</v>
      </c>
      <c r="F18" s="87"/>
      <c r="G18" s="19"/>
    </row>
    <row r="19" spans="1:7" ht="13.5" customHeight="1">
      <c r="A19" s="45"/>
      <c r="B19" s="405" t="s">
        <v>2020</v>
      </c>
      <c r="C19" s="411">
        <v>8.43</v>
      </c>
      <c r="D19" s="411">
        <v>0</v>
      </c>
      <c r="E19" s="411">
        <v>8.43</v>
      </c>
      <c r="F19" s="87"/>
      <c r="G19" s="19"/>
    </row>
    <row r="20" spans="1:7" ht="13.5" customHeight="1">
      <c r="A20" s="45"/>
      <c r="B20" s="405" t="s">
        <v>2021</v>
      </c>
      <c r="C20" s="411">
        <v>460.27</v>
      </c>
      <c r="D20" s="411">
        <f>D12-D15</f>
        <v>-71.209999999999994</v>
      </c>
      <c r="E20" s="411">
        <f>E12-E14-E15-E16-E17-E18-E19</f>
        <v>389.06</v>
      </c>
      <c r="F20" s="87"/>
      <c r="G20" s="19"/>
    </row>
    <row r="21" spans="1:7" ht="13.5" customHeight="1">
      <c r="A21" s="45"/>
      <c r="B21" s="407" t="s">
        <v>82</v>
      </c>
      <c r="C21" s="412">
        <f>SUM(C14:C20)</f>
        <v>473.59</v>
      </c>
      <c r="D21" s="412">
        <f>SUM(D14:D20)</f>
        <v>-51.209999999999994</v>
      </c>
      <c r="E21" s="412">
        <f>SUM(E14:E20)</f>
        <v>422.38</v>
      </c>
      <c r="F21" s="87"/>
      <c r="G21" s="19"/>
    </row>
    <row r="22" spans="1:7" ht="13.5" customHeight="1">
      <c r="A22" s="19"/>
      <c r="B22" s="100"/>
      <c r="C22" s="184">
        <f>C21-C12</f>
        <v>0</v>
      </c>
      <c r="D22" s="184">
        <f>D21-D12</f>
        <v>0</v>
      </c>
      <c r="E22" s="184">
        <f>E21-E12</f>
        <v>0</v>
      </c>
      <c r="F22" s="19"/>
      <c r="G22" s="19"/>
    </row>
  </sheetData>
  <pageMargins left="0.7" right="0.7" top="0.75" bottom="0.75" header="0.3" footer="0.3"/>
  <pageSetup orientation="portrait"/>
  <headerFooter>
    <oddFooter>&amp;C&amp;"Helvetica Neue,Regular"&amp;12&amp;K000000&amp;P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5"/>
  <sheetViews>
    <sheetView showGridLines="0" workbookViewId="0"/>
  </sheetViews>
  <sheetFormatPr baseColWidth="10" defaultColWidth="8.83203125" defaultRowHeight="14.5" customHeight="1"/>
  <cols>
    <col min="1" max="1" width="8.83203125" style="4" customWidth="1"/>
    <col min="2" max="2" width="15.5" style="4" customWidth="1"/>
    <col min="3" max="3" width="19.5" style="4" customWidth="1"/>
    <col min="4" max="6" width="8.83203125" style="4" customWidth="1"/>
    <col min="7" max="16384" width="8.83203125" style="4"/>
  </cols>
  <sheetData>
    <row r="1" spans="1:5" ht="13.5" customHeight="1">
      <c r="A1" s="45"/>
      <c r="B1" s="423" t="s">
        <v>2022</v>
      </c>
      <c r="C1" s="424"/>
      <c r="D1" s="87"/>
      <c r="E1" s="19"/>
    </row>
    <row r="2" spans="1:5" ht="13.5" customHeight="1">
      <c r="A2" s="45"/>
      <c r="B2" s="423" t="s">
        <v>2023</v>
      </c>
      <c r="C2" s="424"/>
      <c r="D2" s="87"/>
      <c r="E2" s="19"/>
    </row>
    <row r="3" spans="1:5" ht="13.5" customHeight="1">
      <c r="A3" s="45"/>
      <c r="B3" s="132" t="s">
        <v>115</v>
      </c>
      <c r="C3" s="132" t="s">
        <v>2024</v>
      </c>
      <c r="D3" s="87"/>
      <c r="E3" s="19"/>
    </row>
    <row r="4" spans="1:5" ht="13.5" customHeight="1">
      <c r="A4" s="45"/>
      <c r="B4" s="413">
        <v>44228</v>
      </c>
      <c r="C4" s="173">
        <v>2.14</v>
      </c>
      <c r="D4" s="87"/>
      <c r="E4" s="19"/>
    </row>
    <row r="5" spans="1:5" ht="13.5" customHeight="1">
      <c r="A5" s="45"/>
      <c r="B5" s="413">
        <v>44256</v>
      </c>
      <c r="C5" s="326">
        <v>3.5</v>
      </c>
      <c r="D5" s="87"/>
      <c r="E5" s="19"/>
    </row>
    <row r="6" spans="1:5" ht="13.5" customHeight="1">
      <c r="A6" s="45"/>
      <c r="B6" s="413">
        <v>44287</v>
      </c>
      <c r="C6" s="173">
        <v>0.16</v>
      </c>
      <c r="D6" s="87"/>
      <c r="E6" s="19"/>
    </row>
    <row r="7" spans="1:5" ht="13.5" customHeight="1">
      <c r="A7" s="45"/>
      <c r="B7" s="413">
        <v>44317</v>
      </c>
      <c r="C7" s="173">
        <v>0.16</v>
      </c>
      <c r="D7" s="87"/>
      <c r="E7" s="19"/>
    </row>
    <row r="8" spans="1:5" ht="13.5" customHeight="1">
      <c r="A8" s="45"/>
      <c r="B8" s="413">
        <v>44348</v>
      </c>
      <c r="C8" s="173">
        <v>0.51</v>
      </c>
      <c r="D8" s="87"/>
      <c r="E8" s="19"/>
    </row>
    <row r="9" spans="1:5" ht="13.5" customHeight="1">
      <c r="A9" s="45"/>
      <c r="B9" s="413">
        <v>44378</v>
      </c>
      <c r="C9" s="173">
        <v>0.55000000000000004</v>
      </c>
      <c r="D9" s="87"/>
      <c r="E9" s="19"/>
    </row>
    <row r="10" spans="1:5" ht="13.5" customHeight="1">
      <c r="A10" s="45"/>
      <c r="B10" s="413">
        <v>44409</v>
      </c>
      <c r="C10" s="173">
        <v>0.59</v>
      </c>
      <c r="D10" s="87"/>
      <c r="E10" s="19"/>
    </row>
    <row r="11" spans="1:5" ht="13.5" customHeight="1">
      <c r="A11" s="45"/>
      <c r="B11" s="413">
        <v>44440</v>
      </c>
      <c r="C11" s="173">
        <v>0.45</v>
      </c>
      <c r="D11" s="87"/>
      <c r="E11" s="19"/>
    </row>
    <row r="12" spans="1:5" ht="13.5" customHeight="1">
      <c r="A12" s="45"/>
      <c r="B12" s="413">
        <v>44470</v>
      </c>
      <c r="C12" s="173">
        <v>3.21</v>
      </c>
      <c r="D12" s="87"/>
      <c r="E12" s="19"/>
    </row>
    <row r="13" spans="1:5" ht="13.5" customHeight="1">
      <c r="A13" s="45"/>
      <c r="B13" s="413">
        <v>44501</v>
      </c>
      <c r="C13" s="173">
        <v>2.62</v>
      </c>
      <c r="D13" s="87"/>
      <c r="E13" s="19"/>
    </row>
    <row r="14" spans="1:5" ht="13.5" customHeight="1">
      <c r="A14" s="45"/>
      <c r="B14" s="413">
        <v>44531</v>
      </c>
      <c r="C14" s="173">
        <v>0.48</v>
      </c>
      <c r="D14" s="87"/>
      <c r="E14" s="19"/>
    </row>
    <row r="15" spans="1:5" ht="13.5" customHeight="1">
      <c r="A15" s="45"/>
      <c r="B15" s="413">
        <v>44562</v>
      </c>
      <c r="C15" s="173">
        <v>2.14</v>
      </c>
      <c r="D15" s="87"/>
      <c r="E15" s="19"/>
    </row>
  </sheetData>
  <mergeCells count="2">
    <mergeCell ref="B1:C1"/>
    <mergeCell ref="B2:C2"/>
  </mergeCell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40</vt:i4>
      </vt:variant>
    </vt:vector>
  </HeadingPairs>
  <TitlesOfParts>
    <vt:vector size="40" baseType="lpstr">
      <vt:lpstr>Export Summary</vt:lpstr>
      <vt:lpstr>Project Detail</vt:lpstr>
      <vt:lpstr>Profile</vt:lpstr>
      <vt:lpstr>MIS</vt:lpstr>
      <vt:lpstr>Networth</vt:lpstr>
      <vt:lpstr>Completed</vt:lpstr>
      <vt:lpstr>Promoter Land bank</vt:lpstr>
      <vt:lpstr>Ongoing</vt:lpstr>
      <vt:lpstr>Debt</vt:lpstr>
      <vt:lpstr>COP-MOF</vt:lpstr>
      <vt:lpstr>Sheet1 - PivotTable1</vt:lpstr>
      <vt:lpstr>Sheet3 - PivotTable1</vt:lpstr>
      <vt:lpstr>Sheet3 - Table 1</vt:lpstr>
      <vt:lpstr>Sheet7 - PivotTable1</vt:lpstr>
      <vt:lpstr>Sheet8 - PivotTable2</vt:lpstr>
      <vt:lpstr>Sheet8 - Table 1</vt:lpstr>
      <vt:lpstr>Sheet9 - PivotTable2</vt:lpstr>
      <vt:lpstr>Sheet10 - PivotTable1 - PivotTa</vt:lpstr>
      <vt:lpstr>Sheet10 - PivotTable1 - Table 1</vt:lpstr>
      <vt:lpstr>Sheet10 - Table 1</vt:lpstr>
      <vt:lpstr>Sheet12 - PivotTable2 - PivotTa</vt:lpstr>
      <vt:lpstr>Sheet12 - PivotTable2 - Table 1</vt:lpstr>
      <vt:lpstr>Sheet13 - PivotTable3 - PivotTa</vt:lpstr>
      <vt:lpstr>Sheet13 - PivotTable3 - Table 1</vt:lpstr>
      <vt:lpstr>Velocity</vt:lpstr>
      <vt:lpstr>Sheet16</vt:lpstr>
      <vt:lpstr>Sheet11 - PivotTable1 - PivotTa</vt:lpstr>
      <vt:lpstr>Sheet11 - PivotTable1 - Table 1</vt:lpstr>
      <vt:lpstr>Sold- Prime</vt:lpstr>
      <vt:lpstr>Unsold-Prime</vt:lpstr>
      <vt:lpstr>Sheet14 - PivotTable1</vt:lpstr>
      <vt:lpstr>Sheet15 - PivotTable2</vt:lpstr>
      <vt:lpstr>Sheet15 - Table 1</vt:lpstr>
      <vt:lpstr>Unsold </vt:lpstr>
      <vt:lpstr>Collection Velocity</vt:lpstr>
      <vt:lpstr>Sheet5</vt:lpstr>
      <vt:lpstr>Sheet4</vt:lpstr>
      <vt:lpstr>Sheet6</vt:lpstr>
      <vt:lpstr>COP &amp; MOF</vt:lpstr>
      <vt:lpstr>GST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Utkarsh Jaiswal</cp:lastModifiedBy>
  <dcterms:created xsi:type="dcterms:W3CDTF">2025-07-03T10:59:43Z</dcterms:created>
  <dcterms:modified xsi:type="dcterms:W3CDTF">2025-07-03T12:07:30Z</dcterms:modified>
</cp:coreProperties>
</file>